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theme/themeOverride34.xml" ContentType="application/vnd.openxmlformats-officedocument.themeOverride+xml"/>
  <Override PartName="/xl/theme/themeOverride35.xml" ContentType="application/vnd.openxmlformats-officedocument.themeOverride+xml"/>
  <Override PartName="/xl/theme/themeOverride36.xml" ContentType="application/vnd.openxmlformats-officedocument.themeOverride+xml"/>
  <Override PartName="/xl/theme/themeOverride37.xml" ContentType="application/vnd.openxmlformats-officedocument.themeOverride+xml"/>
  <Override PartName="/xl/theme/themeOverride38.xml" ContentType="application/vnd.openxmlformats-officedocument.themeOverride+xml"/>
  <Override PartName="/xl/theme/themeOverride39.xml" ContentType="application/vnd.openxmlformats-officedocument.themeOverride+xml"/>
  <Override PartName="/xl/theme/themeOverride4.xml" ContentType="application/vnd.openxmlformats-officedocument.themeOverride+xml"/>
  <Override PartName="/xl/theme/themeOverride40.xml" ContentType="application/vnd.openxmlformats-officedocument.themeOverride+xml"/>
  <Override PartName="/xl/theme/themeOverride41.xml" ContentType="application/vnd.openxmlformats-officedocument.themeOverride+xml"/>
  <Override PartName="/xl/theme/themeOverride42.xml" ContentType="application/vnd.openxmlformats-officedocument.themeOverride+xml"/>
  <Override PartName="/xl/theme/themeOverride43.xml" ContentType="application/vnd.openxmlformats-officedocument.themeOverride+xml"/>
  <Override PartName="/xl/theme/themeOverride44.xml" ContentType="application/vnd.openxmlformats-officedocument.themeOverride+xml"/>
  <Override PartName="/xl/theme/themeOverride45.xml" ContentType="application/vnd.openxmlformats-officedocument.themeOverride+xml"/>
  <Override PartName="/xl/theme/themeOverride46.xml" ContentType="application/vnd.openxmlformats-officedocument.themeOverride+xml"/>
  <Override PartName="/xl/theme/themeOverride47.xml" ContentType="application/vnd.openxmlformats-officedocument.themeOverride+xml"/>
  <Override PartName="/xl/theme/themeOverride48.xml" ContentType="application/vnd.openxmlformats-officedocument.themeOverride+xml"/>
  <Override PartName="/xl/theme/themeOverride49.xml" ContentType="application/vnd.openxmlformats-officedocument.themeOverride+xml"/>
  <Override PartName="/xl/theme/themeOverride5.xml" ContentType="application/vnd.openxmlformats-officedocument.themeOverride+xml"/>
  <Override PartName="/xl/theme/themeOverride50.xml" ContentType="application/vnd.openxmlformats-officedocument.themeOverride+xml"/>
  <Override PartName="/xl/theme/themeOverride51.xml" ContentType="application/vnd.openxmlformats-officedocument.themeOverride+xml"/>
  <Override PartName="/xl/theme/themeOverride52.xml" ContentType="application/vnd.openxmlformats-officedocument.themeOverride+xml"/>
  <Override PartName="/xl/theme/themeOverride53.xml" ContentType="application/vnd.openxmlformats-officedocument.themeOverride+xml"/>
  <Override PartName="/xl/theme/themeOverride54.xml" ContentType="application/vnd.openxmlformats-officedocument.themeOverride+xml"/>
  <Override PartName="/xl/theme/themeOverride55.xml" ContentType="application/vnd.openxmlformats-officedocument.themeOverride+xml"/>
  <Override PartName="/xl/theme/themeOverride56.xml" ContentType="application/vnd.openxmlformats-officedocument.themeOverride+xml"/>
  <Override PartName="/xl/theme/themeOverride57.xml" ContentType="application/vnd.openxmlformats-officedocument.themeOverride+xml"/>
  <Override PartName="/xl/theme/themeOverride58.xml" ContentType="application/vnd.openxmlformats-officedocument.themeOverride+xml"/>
  <Override PartName="/xl/theme/themeOverride59.xml" ContentType="application/vnd.openxmlformats-officedocument.themeOverride+xml"/>
  <Override PartName="/xl/theme/themeOverride6.xml" ContentType="application/vnd.openxmlformats-officedocument.themeOverride+xml"/>
  <Override PartName="/xl/theme/themeOverride60.xml" ContentType="application/vnd.openxmlformats-officedocument.themeOverride+xml"/>
  <Override PartName="/xl/theme/themeOverride61.xml" ContentType="application/vnd.openxmlformats-officedocument.themeOverride+xml"/>
  <Override PartName="/xl/theme/themeOverride62.xml" ContentType="application/vnd.openxmlformats-officedocument.themeOverride+xml"/>
  <Override PartName="/xl/theme/themeOverride63.xml" ContentType="application/vnd.openxmlformats-officedocument.themeOverride+xml"/>
  <Override PartName="/xl/theme/themeOverride64.xml" ContentType="application/vnd.openxmlformats-officedocument.themeOverride+xml"/>
  <Override PartName="/xl/theme/themeOverride65.xml" ContentType="application/vnd.openxmlformats-officedocument.themeOverride+xml"/>
  <Override PartName="/xl/theme/themeOverride66.xml" ContentType="application/vnd.openxmlformats-officedocument.themeOverride+xml"/>
  <Override PartName="/xl/theme/themeOverride67.xml" ContentType="application/vnd.openxmlformats-officedocument.themeOverride+xml"/>
  <Override PartName="/xl/theme/themeOverride68.xml" ContentType="application/vnd.openxmlformats-officedocument.themeOverride+xml"/>
  <Override PartName="/xl/theme/themeOverride69.xml" ContentType="application/vnd.openxmlformats-officedocument.themeOverride+xml"/>
  <Override PartName="/xl/theme/themeOverride7.xml" ContentType="application/vnd.openxmlformats-officedocument.themeOverride+xml"/>
  <Override PartName="/xl/theme/themeOverride70.xml" ContentType="application/vnd.openxmlformats-officedocument.themeOverride+xml"/>
  <Override PartName="/xl/theme/themeOverride71.xml" ContentType="application/vnd.openxmlformats-officedocument.themeOverride+xml"/>
  <Override PartName="/xl/theme/themeOverride72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15" windowHeight="12675" tabRatio="840" activeTab="2"/>
  </bookViews>
  <sheets>
    <sheet name="Master summary" sheetId="19" r:id="rId1"/>
    <sheet name="WG-POR REL Test plan " sheetId="12" r:id="rId2"/>
    <sheet name="WG-PRO-KPI Summary" sheetId="15" r:id="rId3"/>
    <sheet name="WG-PRO-CTF Date" sheetId="18" r:id="rId4"/>
    <sheet name="WG-DOE REL Test plan " sheetId="14" r:id="rId5"/>
    <sheet name="LE REL Test plan " sheetId="6" r:id="rId6"/>
    <sheet name="LE-KPI Summary" sheetId="3" r:id="rId7"/>
    <sheet name="WG-DOE-KPI Summary" sheetId="16" r:id="rId8"/>
    <sheet name="LE-CTF Date" sheetId="8" r:id="rId9"/>
    <sheet name="WG-DOE-CTF Date" sheetId="17" r:id="rId10"/>
  </sheets>
  <definedNames>
    <definedName name="_xlnm._FilterDatabase" localSheetId="2" hidden="1">'WG-PRO-KPI Summary'!$A$2:$F$138</definedName>
    <definedName name="_xlnm._FilterDatabase" localSheetId="3" hidden="1">'WG-PRO-CTF Date'!$2:$62</definedName>
    <definedName name="_xlnm._FilterDatabase" localSheetId="6" hidden="1">'LE-KPI Summary'!$A$2:$F$44</definedName>
    <definedName name="_xlnm._FilterDatabase" localSheetId="7" hidden="1">'WG-DOE-KPI Summary'!$A$2:$F$44</definedName>
    <definedName name="_xlnm._FilterDatabase" localSheetId="8" hidden="1">'LE-CTF Date'!$2:$44</definedName>
    <definedName name="_xlnm._FilterDatabase" localSheetId="9" hidden="1">'WG-DOE-CTF Date'!$2:$44</definedName>
    <definedName name="abc">#REF!</definedName>
    <definedName name="abc" localSheetId="5">#REF!</definedName>
    <definedName name="abc" localSheetId="8">#REF!</definedName>
    <definedName name="abc" localSheetId="1">#REF!</definedName>
    <definedName name="abc" localSheetId="4">#REF!</definedName>
    <definedName name="abc" localSheetId="9">#REF!</definedName>
    <definedName name="abc" localSheetId="3">#REF!</definedName>
  </definedNames>
  <calcPr calcId="144525"/>
</workbook>
</file>

<file path=xl/comments1.xml><?xml version="1.0" encoding="utf-8"?>
<comments xmlns="http://schemas.openxmlformats.org/spreadsheetml/2006/main">
  <authors>
    <author>xiedixian</author>
  </authors>
  <commentList>
    <comment ref="U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体现整体趋势分布情况</t>
        </r>
      </text>
    </comment>
  </commentList>
</comments>
</file>

<file path=xl/comments2.xml><?xml version="1.0" encoding="utf-8"?>
<comments xmlns="http://schemas.openxmlformats.org/spreadsheetml/2006/main">
  <authors>
    <author>xiedixian</author>
  </authors>
  <commentList>
    <comment ref="AV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体现同一块样品，在不同时间段下H方向1~17个点的分布趋势。
思路：正常情况，在相同条件下，同一块样品各区域的CTF衰减趋势是一致的，不存在某些点出现偏离，若出现偏离证明测试数据存疑，或者该点出现了异常趋势，需要重点排查。</t>
        </r>
      </text>
    </comment>
    <comment ref="AW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体现同一块样品，在不同时间段下V方向1~17个点的分布趋势。
思路：正常情况，在相同条件下，同一块样品各区域的CTF衰减趋势是一致的，不存在某些点出现偏离，若出现偏离证明测试数据存疑，或者该点出现了异常趋势，需要重点排查。</t>
        </r>
      </text>
    </comment>
    <comment ref="AX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体现整体趋势分布情况</t>
        </r>
      </text>
    </comment>
  </commentList>
</comments>
</file>

<file path=xl/comments3.xml><?xml version="1.0" encoding="utf-8"?>
<comments xmlns="http://schemas.openxmlformats.org/spreadsheetml/2006/main">
  <authors>
    <author>xiedixian</author>
  </authors>
  <commentList>
    <comment ref="Y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体现整体趋势分布情况</t>
        </r>
      </text>
    </comment>
  </commentList>
</comments>
</file>

<file path=xl/comments4.xml><?xml version="1.0" encoding="utf-8"?>
<comments xmlns="http://schemas.openxmlformats.org/spreadsheetml/2006/main">
  <authors>
    <author>xiedixian</author>
  </authors>
  <commentList>
    <comment ref="Y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体现整体趋势分布情况</t>
        </r>
      </text>
    </comment>
  </commentList>
</comments>
</file>

<file path=xl/comments5.xml><?xml version="1.0" encoding="utf-8"?>
<comments xmlns="http://schemas.openxmlformats.org/spreadsheetml/2006/main">
  <authors>
    <author>xiedixian</author>
  </authors>
  <commentList>
    <comment ref="AV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体现同一块样品，在不同时间段下H方向1~17个点的分布趋势。
思路：正常情况，在相同条件下，同一块样品各区域的CTF衰减趋势是一致的，不存在某些点出现偏离，若出现偏离证明测试数据存疑，或者该点出现了异常趋势，需要重点排查。</t>
        </r>
      </text>
    </comment>
    <comment ref="AW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体现同一块样品，在不同时间段下V方向1~17个点的分布趋势。
思路：正常情况，在相同条件下，同一块样品各区域的CTF衰减趋势是一致的，不存在某些点出现偏离，若出现偏离证明测试数据存疑，或者该点出现了异常趋势，需要重点排查。</t>
        </r>
      </text>
    </comment>
    <comment ref="AX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体现整体趋势分布情况</t>
        </r>
      </text>
    </comment>
  </commentList>
</comments>
</file>

<file path=xl/comments6.xml><?xml version="1.0" encoding="utf-8"?>
<comments xmlns="http://schemas.openxmlformats.org/spreadsheetml/2006/main">
  <authors>
    <author>xiedixian</author>
  </authors>
  <commentList>
    <comment ref="AV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体现同一块样品，在不同时间段下H方向1~17个点的分布趋势。
思路：正常情况，在相同条件下，同一块样品各区域的CTF衰减趋势是一致的，不存在某些点出现偏离，若出现偏离证明测试数据存疑，或者该点出现了异常趋势，需要重点排查。</t>
        </r>
      </text>
    </comment>
    <comment ref="AW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体现同一块样品，在不同时间段下V方向1~17个点的分布趋势。
思路：正常情况，在相同条件下，同一块样品各区域的CTF衰减趋势是一致的，不存在某些点出现偏离，若出现偏离证明测试数据存疑，或者该点出现了异常趋势，需要重点排查。</t>
        </r>
      </text>
    </comment>
    <comment ref="AX2" authorId="0">
      <text>
        <r>
          <rPr>
            <b/>
            <sz val="9"/>
            <rFont val="宋体"/>
            <charset val="134"/>
          </rPr>
          <t>xiedixian:</t>
        </r>
        <r>
          <rPr>
            <sz val="9"/>
            <rFont val="宋体"/>
            <charset val="134"/>
          </rPr>
          <t xml:space="preserve">
体现整体趋势分布情况</t>
        </r>
      </text>
    </comment>
  </commentList>
</comments>
</file>

<file path=xl/sharedStrings.xml><?xml version="1.0" encoding="utf-8"?>
<sst xmlns="http://schemas.openxmlformats.org/spreadsheetml/2006/main" count="1709" uniqueCount="261">
  <si>
    <t>EVT可靠性测试汇总表</t>
  </si>
  <si>
    <t>NO.</t>
  </si>
  <si>
    <t>Part</t>
  </si>
  <si>
    <t>LE</t>
  </si>
  <si>
    <t>WG</t>
  </si>
  <si>
    <t>NED</t>
  </si>
  <si>
    <t>Config</t>
  </si>
  <si>
    <t>已领，机台调试中VID先不测，其它进行</t>
  </si>
  <si>
    <t>POR-GE（进行中）</t>
  </si>
  <si>
    <t>DOE-ED</t>
  </si>
  <si>
    <t>MJMC+MJMC-DA</t>
  </si>
  <si>
    <t>MJCC</t>
  </si>
  <si>
    <t>DOE1</t>
  </si>
  <si>
    <t>TEST ITEM</t>
  </si>
  <si>
    <t>Sample Size</t>
  </si>
  <si>
    <t>进度</t>
  </si>
  <si>
    <t>Progress</t>
  </si>
  <si>
    <t>1.1</t>
  </si>
  <si>
    <t>Non -Ops High Temperature &amp; High Humidity Test</t>
  </si>
  <si>
    <t>2026/3/11~</t>
  </si>
  <si>
    <t>进行中
2026/2/24~2026/3/17</t>
  </si>
  <si>
    <t>库存不足，暂未领样品测试(待产品通知时间)</t>
  </si>
  <si>
    <t>该型号规格不安排可靠性测试</t>
  </si>
  <si>
    <t>样品未生产，暂未领取测试</t>
  </si>
  <si>
    <t>1.2</t>
  </si>
  <si>
    <t>Non - Ops Temperature &amp; Humidity CyclingTest</t>
  </si>
  <si>
    <t>/</t>
  </si>
  <si>
    <t>1.3</t>
  </si>
  <si>
    <t>Operational corner test</t>
  </si>
  <si>
    <t>1.4</t>
  </si>
  <si>
    <t>Non-Operational Thermal Cycling</t>
  </si>
  <si>
    <t>进行中，NG</t>
  </si>
  <si>
    <t>1.5</t>
  </si>
  <si>
    <t>Non - Operational Condensation test</t>
  </si>
  <si>
    <t>1.6</t>
  </si>
  <si>
    <t>Cold Storage Test</t>
  </si>
  <si>
    <t>OK</t>
  </si>
  <si>
    <t>1.7</t>
  </si>
  <si>
    <t>Non- Operational Dash Board Test</t>
  </si>
  <si>
    <t>1.8</t>
  </si>
  <si>
    <t>Solar Exposure test</t>
  </si>
  <si>
    <t>进行中
2026/2/24~2026/3/26</t>
  </si>
  <si>
    <t>1.9</t>
  </si>
  <si>
    <t>Altitude Test</t>
  </si>
  <si>
    <t>1.10</t>
  </si>
  <si>
    <t>Dust Test</t>
  </si>
  <si>
    <t>1.11</t>
  </si>
  <si>
    <t>Rain Test (Operational)</t>
  </si>
  <si>
    <t>2.1</t>
  </si>
  <si>
    <r>
      <rPr>
        <sz val="10"/>
        <rFont val="微软雅黑"/>
        <charset val="134"/>
      </rPr>
      <t>Standard Free Drop Test with Gibbs Frame (</t>
    </r>
    <r>
      <rPr>
        <sz val="10"/>
        <color rgb="FF0000FF"/>
        <rFont val="微软雅黑"/>
        <charset val="134"/>
      </rPr>
      <t>1.5m</t>
    </r>
    <r>
      <rPr>
        <sz val="10"/>
        <rFont val="微软雅黑"/>
        <charset val="134"/>
      </rPr>
      <t>)</t>
    </r>
  </si>
  <si>
    <t>2.2</t>
  </si>
  <si>
    <t>Ball Impact on Lens</t>
  </si>
  <si>
    <t>2.3</t>
  </si>
  <si>
    <t>Tumble Test (For Reference atm)</t>
  </si>
  <si>
    <t>3.1</t>
  </si>
  <si>
    <t>Lens Wiping</t>
  </si>
  <si>
    <t>3.2</t>
  </si>
  <si>
    <t>Taber Abrasion for Transparent Screens</t>
  </si>
  <si>
    <t>3.3</t>
  </si>
  <si>
    <r>
      <rPr>
        <sz val="10"/>
        <rFont val="微软雅黑"/>
        <charset val="134"/>
      </rPr>
      <t xml:space="preserve">Chemical Resistance Test 
</t>
    </r>
    <r>
      <rPr>
        <sz val="10"/>
        <color rgb="FF0000FF"/>
        <rFont val="微软雅黑"/>
        <charset val="134"/>
      </rPr>
      <t>(type I&amp;II for WG, only type I for NEDs)</t>
    </r>
  </si>
  <si>
    <t>进行中
2026/3/5~2026/3/12</t>
  </si>
  <si>
    <t>TOTAL</t>
  </si>
  <si>
    <t>Type</t>
  </si>
  <si>
    <t>No.</t>
  </si>
  <si>
    <t>Test Item</t>
  </si>
  <si>
    <t>Time spent</t>
  </si>
  <si>
    <t>Checkpoint</t>
  </si>
  <si>
    <t>Qty</t>
  </si>
  <si>
    <t>Test plan</t>
  </si>
  <si>
    <t>start date</t>
  </si>
  <si>
    <t>completion time</t>
  </si>
  <si>
    <t>condition</t>
  </si>
  <si>
    <t>statements</t>
  </si>
  <si>
    <t>WG-RRO TREL Test plan</t>
  </si>
  <si>
    <t>280h</t>
  </si>
  <si>
    <t>T0、72h、146h、280h</t>
  </si>
  <si>
    <t>Plan time</t>
  </si>
  <si>
    <t>Ongoing</t>
  </si>
  <si>
    <t>T0</t>
  </si>
  <si>
    <t>72H</t>
  </si>
  <si>
    <t>146H</t>
  </si>
  <si>
    <t>280H</t>
  </si>
  <si>
    <t>Actual time</t>
  </si>
  <si>
    <t>Non-Operational Thermal Cycling Test</t>
  </si>
  <si>
    <t>100h</t>
  </si>
  <si>
    <t>T0、35cycle、70cycle、100cycle</t>
  </si>
  <si>
    <t>35Cycles</t>
  </si>
  <si>
    <t>70Cycles</t>
  </si>
  <si>
    <t>100Cycles</t>
  </si>
  <si>
    <t>72h</t>
  </si>
  <si>
    <t>T0、72h</t>
  </si>
  <si>
    <t>Completed</t>
  </si>
  <si>
    <t>T72</t>
  </si>
  <si>
    <t>48h</t>
  </si>
  <si>
    <t>T0、1cycle（8h）、3cycle(24h)、6cycle（48h）</t>
  </si>
  <si>
    <t>6cycle</t>
  </si>
  <si>
    <t>500h</t>
  </si>
  <si>
    <t>T0、100h、200h、300h、400h、500h</t>
  </si>
  <si>
    <t>T100</t>
  </si>
  <si>
    <t>T200</t>
  </si>
  <si>
    <t>T300</t>
  </si>
  <si>
    <t>T400</t>
  </si>
  <si>
    <t>T500</t>
  </si>
  <si>
    <t>2h</t>
  </si>
  <si>
    <t>Chemical Resistance Test 
(type I&amp;II for WG, only type I for NEDs)</t>
  </si>
  <si>
    <t>146h</t>
  </si>
  <si>
    <t>T0、24h、48h、72h、96h、120h、146h</t>
  </si>
  <si>
    <t>T146</t>
  </si>
  <si>
    <t>Remark</t>
  </si>
  <si>
    <t>送测单号</t>
  </si>
  <si>
    <t>项目代号</t>
  </si>
  <si>
    <t>Phase</t>
  </si>
  <si>
    <t>Item</t>
  </si>
  <si>
    <t>SN</t>
  </si>
  <si>
    <t>Status</t>
  </si>
  <si>
    <t>Due date</t>
  </si>
  <si>
    <t>Result</t>
  </si>
  <si>
    <r>
      <t>RCLvUnif_Res_LvUnifSubOptic</t>
    </r>
    <r>
      <rPr>
        <sz val="10"/>
        <color theme="1"/>
        <rFont val="微软雅黑"/>
        <charset val="134"/>
      </rPr>
      <t xml:space="preserve">
（均匀性）</t>
    </r>
  </si>
  <si>
    <t>RCLvUnif_Res_LvUnifSubOptic
（均匀性）
decreasing%</t>
  </si>
  <si>
    <r>
      <t>RCLvUnif_Res_LumEffic</t>
    </r>
    <r>
      <rPr>
        <sz val="10"/>
        <color theme="1"/>
        <rFont val="微软雅黑"/>
        <charset val="134"/>
      </rPr>
      <t xml:space="preserve">
（光效）</t>
    </r>
  </si>
  <si>
    <t>RCLvUnif_Res_LumEffic
（光效）
decreasing%</t>
  </si>
  <si>
    <r>
      <t>ANSIContrast_Res_LvContRatio</t>
    </r>
    <r>
      <rPr>
        <sz val="10"/>
        <color theme="1"/>
        <rFont val="微软雅黑"/>
        <charset val="134"/>
      </rPr>
      <t xml:space="preserve">
（对比度）</t>
    </r>
  </si>
  <si>
    <t>ANSIContrast_Res_LvContRatio
（对比度）
decreasing%</t>
  </si>
  <si>
    <t>CTF-Hmin</t>
  </si>
  <si>
    <t>CTF-Hmin
decreasing%</t>
  </si>
  <si>
    <t>CTF-Vmin</t>
  </si>
  <si>
    <t>CTF-Vmin
decreasing%</t>
  </si>
  <si>
    <t>CTF distribution</t>
  </si>
  <si>
    <t>M06</t>
  </si>
  <si>
    <t>EVT</t>
  </si>
  <si>
    <r>
      <t>1.1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Heat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Soak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(High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Temperature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&amp;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High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Humidity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Test)</t>
    </r>
  </si>
  <si>
    <t>1#</t>
  </si>
  <si>
    <t>MGME6G92612400334</t>
  </si>
  <si>
    <t>T280</t>
  </si>
  <si>
    <t>2#</t>
  </si>
  <si>
    <t>MGME6G12612200049</t>
  </si>
  <si>
    <t>3#</t>
  </si>
  <si>
    <t>MGME6G12612200104</t>
  </si>
  <si>
    <r>
      <rPr>
        <b/>
        <sz val="10"/>
        <color theme="1"/>
        <rFont val="Nimbus Roman No9 L"/>
        <charset val="134"/>
      </rPr>
      <t>1.4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Non-Operational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Thermal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Cycling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</t>
    </r>
  </si>
  <si>
    <t>MGME6G92612400159</t>
  </si>
  <si>
    <t>（1）RCLvUnif_Res_LvUnifSubOptic decreasing 27.58%.
（2）CTF-Hmin decreasing 30.69%
（3）CTF-Vmin decreasing 31.83%</t>
  </si>
  <si>
    <t>35cycle</t>
  </si>
  <si>
    <t>70cycle</t>
  </si>
  <si>
    <t>100cycle</t>
  </si>
  <si>
    <t>MGME6G92612400115</t>
  </si>
  <si>
    <t>MGME6G12612200191</t>
  </si>
  <si>
    <r>
      <rPr>
        <b/>
        <sz val="10"/>
        <color theme="1"/>
        <rFont val="Nimbus Roman No9 L"/>
        <charset val="134"/>
      </rPr>
      <t>1.6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Cold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Storage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</t>
    </r>
  </si>
  <si>
    <t>MGME6G92612400236</t>
  </si>
  <si>
    <t>Pass</t>
  </si>
  <si>
    <t>MGME6G12612200250</t>
  </si>
  <si>
    <t>MGME6G92612400265</t>
  </si>
  <si>
    <r>
      <rPr>
        <b/>
        <sz val="10"/>
        <color theme="1"/>
        <rFont val="Nimbus Roman No9 L"/>
        <charset val="134"/>
      </rPr>
      <t>1.7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Non-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Operational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Dash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Board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</t>
    </r>
  </si>
  <si>
    <t>MGME6G92612400176</t>
  </si>
  <si>
    <t>1cycle</t>
  </si>
  <si>
    <t>3cycle</t>
  </si>
  <si>
    <t>MGME6G92612400386</t>
  </si>
  <si>
    <t>MGME6G92612400039</t>
  </si>
  <si>
    <r>
      <rPr>
        <b/>
        <sz val="10"/>
        <color theme="1"/>
        <rFont val="Nimbus Roman No9 L"/>
        <charset val="134"/>
      </rPr>
      <t>1.8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Solar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Exposure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</t>
    </r>
  </si>
  <si>
    <t>MGME6G92612400218</t>
  </si>
  <si>
    <t>200cycle</t>
  </si>
  <si>
    <t>300cycle</t>
  </si>
  <si>
    <t>400cycle</t>
  </si>
  <si>
    <t>500cycle</t>
  </si>
  <si>
    <t>MGME6G92612400175</t>
  </si>
  <si>
    <t>MGME6G12612200235</t>
  </si>
  <si>
    <r>
      <rPr>
        <b/>
        <sz val="10"/>
        <color theme="1"/>
        <rFont val="Nimbus Roman No9 L"/>
        <charset val="134"/>
      </rPr>
      <t>2.2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Ball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Impact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on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Lens</t>
    </r>
  </si>
  <si>
    <t>MGME6G92612400268</t>
  </si>
  <si>
    <t>Appearance and structure are normal, optical performance does not need to be tested.</t>
  </si>
  <si>
    <t>结束</t>
  </si>
  <si>
    <t>MGME6G92612400161</t>
  </si>
  <si>
    <t>MGME6G12612200039</t>
  </si>
  <si>
    <r>
      <rPr>
        <b/>
        <sz val="10"/>
        <color theme="1"/>
        <rFont val="Nimbus Roman No9 L"/>
        <charset val="134"/>
      </rPr>
      <t>3.3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Chemical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Resistance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Test</t>
    </r>
    <r>
      <rPr>
        <b/>
        <sz val="10"/>
        <color theme="1"/>
        <rFont val="微软雅黑"/>
        <charset val="134"/>
      </rPr>
      <t xml:space="preserve"> 
</t>
    </r>
    <r>
      <rPr>
        <b/>
        <sz val="10"/>
        <color theme="1"/>
        <rFont val="Nimbus Roman No9 L"/>
        <charset val="134"/>
      </rPr>
      <t>(type</t>
    </r>
    <r>
      <rPr>
        <b/>
        <sz val="10"/>
        <color theme="1"/>
        <rFont val="微软雅黑"/>
        <charset val="134"/>
      </rPr>
      <t xml:space="preserve"> </t>
    </r>
    <r>
      <rPr>
        <b/>
        <sz val="10"/>
        <color theme="1"/>
        <rFont val="Nimbus Roman No9 L"/>
        <charset val="134"/>
      </rPr>
      <t>I</t>
    </r>
    <r>
      <rPr>
        <b/>
        <sz val="10"/>
        <color theme="1"/>
        <rFont val="微软雅黑"/>
        <charset val="134"/>
      </rPr>
      <t>）</t>
    </r>
  </si>
  <si>
    <t>MGME6G92612400432</t>
  </si>
  <si>
    <t xml:space="preserve">Appearance and structure are normal, </t>
  </si>
  <si>
    <t>24h</t>
  </si>
  <si>
    <t>96h</t>
  </si>
  <si>
    <t>120h</t>
  </si>
  <si>
    <t>MGME6G92612400170</t>
  </si>
  <si>
    <t>MGME6G92612400272</t>
  </si>
  <si>
    <t>4#</t>
  </si>
  <si>
    <t>MGME6G92612400292</t>
  </si>
  <si>
    <t>5#</t>
  </si>
  <si>
    <t>MGME6G92612400168</t>
  </si>
  <si>
    <t>3.3 Chemical Resistance Test 
(type II )</t>
  </si>
  <si>
    <t>MGME6G92612400133</t>
  </si>
  <si>
    <t>MGME6G92612400261</t>
  </si>
  <si>
    <t>MGME6G92612400224</t>
  </si>
  <si>
    <t>MGME6G92612400156</t>
  </si>
  <si>
    <t>MGME6G92612400211</t>
  </si>
  <si>
    <t>样品信息</t>
  </si>
  <si>
    <t>手动填写</t>
  </si>
  <si>
    <t>水平方向CTF</t>
  </si>
  <si>
    <t>垂直方向CTF</t>
  </si>
  <si>
    <t>CTF性能参数汇总</t>
  </si>
  <si>
    <t>数据分析（一致性、均匀性）</t>
  </si>
  <si>
    <t>项目名称</t>
  </si>
  <si>
    <t>阶段</t>
  </si>
  <si>
    <t>样品编号</t>
  </si>
  <si>
    <t>CTFH_1</t>
  </si>
  <si>
    <t>CTFH_2</t>
  </si>
  <si>
    <t>CTFH_3</t>
  </si>
  <si>
    <t>CTFH_4</t>
  </si>
  <si>
    <t>CTFH_5</t>
  </si>
  <si>
    <t>CTFH_6</t>
  </si>
  <si>
    <t>CTFH_7</t>
  </si>
  <si>
    <t>CTFH_8</t>
  </si>
  <si>
    <t>CTFH_9</t>
  </si>
  <si>
    <t>CTFH_10</t>
  </si>
  <si>
    <t>CTFH_11</t>
  </si>
  <si>
    <t>CTFH_12</t>
  </si>
  <si>
    <t>CTFH_13</t>
  </si>
  <si>
    <t>CTFH_14</t>
  </si>
  <si>
    <t>CTFH_15</t>
  </si>
  <si>
    <t>CTFH_16</t>
  </si>
  <si>
    <t>CTFH_17</t>
  </si>
  <si>
    <t>CTFV_1</t>
  </si>
  <si>
    <t>CTFV_2</t>
  </si>
  <si>
    <t>CTFV_3</t>
  </si>
  <si>
    <t>CTFV_4</t>
  </si>
  <si>
    <t>CTFV_5</t>
  </si>
  <si>
    <t>CTFV_6</t>
  </si>
  <si>
    <t>CTFV_7</t>
  </si>
  <si>
    <t>CTFV_8</t>
  </si>
  <si>
    <t>CTFV_9</t>
  </si>
  <si>
    <t>CTFV_10</t>
  </si>
  <si>
    <t>CTFV_11</t>
  </si>
  <si>
    <t>CTFV_12</t>
  </si>
  <si>
    <t>CTFV_13</t>
  </si>
  <si>
    <t>CTFV_14</t>
  </si>
  <si>
    <t>CTFV_15</t>
  </si>
  <si>
    <t>CTFV_16</t>
  </si>
  <si>
    <t>CTFV_17</t>
  </si>
  <si>
    <r>
      <rPr>
        <b/>
        <sz val="10"/>
        <color theme="1"/>
        <rFont val="微软雅黑"/>
        <charset val="134"/>
      </rPr>
      <t>CTF-H</t>
    </r>
    <r>
      <rPr>
        <b/>
        <vertAlign val="subscript"/>
        <sz val="10"/>
        <color theme="1"/>
        <rFont val="微软雅黑"/>
        <charset val="134"/>
      </rPr>
      <t>min</t>
    </r>
  </si>
  <si>
    <t>CTF-Hmin衰减率</t>
  </si>
  <si>
    <r>
      <rPr>
        <b/>
        <sz val="10"/>
        <color theme="1"/>
        <rFont val="微软雅黑"/>
        <charset val="134"/>
      </rPr>
      <t>CTF-V</t>
    </r>
    <r>
      <rPr>
        <b/>
        <vertAlign val="subscript"/>
        <sz val="10"/>
        <color theme="1"/>
        <rFont val="微软雅黑"/>
        <charset val="134"/>
      </rPr>
      <t>min</t>
    </r>
  </si>
  <si>
    <t>CTF-Vmin衰减率</t>
  </si>
  <si>
    <t>结果</t>
  </si>
  <si>
    <t>CTF-H变化趋势折线图</t>
  </si>
  <si>
    <t>CTF-V变化趋势折线图</t>
  </si>
  <si>
    <t>CTF分布箱线图</t>
  </si>
  <si>
    <t>1.1 Heat Soak Test (High Temperature &amp; High Humidity Test)</t>
  </si>
  <si>
    <t>1.4 Non-Operational Thermal Cycling Test</t>
  </si>
  <si>
    <t>1.6 Cold Storage Test</t>
  </si>
  <si>
    <t>1.7 Non- Operational Dash Board Test</t>
  </si>
  <si>
    <t>1.8 Solar Exposure test</t>
  </si>
  <si>
    <t>Not started</t>
  </si>
  <si>
    <t>No test samples available for testing.</t>
  </si>
  <si>
    <t>LE -HVT REL Test plan</t>
  </si>
  <si>
    <t>Production line relocation: optical test machines not yet calibrated; tests pending.</t>
  </si>
  <si>
    <t>VID虚像距average</t>
  </si>
  <si>
    <t>光通量_13点25%%APL</t>
  </si>
  <si>
    <t>光通量_13点25%%APL
decreasing%</t>
  </si>
  <si>
    <t>13p_Uniformity（均匀性）</t>
  </si>
  <si>
    <t>13p_Uniformity（均匀性）
decreasing%</t>
  </si>
  <si>
    <t>4x4_CheckBoard（对比度）</t>
  </si>
  <si>
    <t>4x4_CheckBoard（对比度）
decreasing%</t>
  </si>
  <si>
    <t>4x4_CheckBoard（对比度）40度烘烤8小时后复测</t>
  </si>
  <si>
    <t>DistortionHor_Avg畸变</t>
  </si>
  <si>
    <t>DistortionVer_Avg畸变</t>
  </si>
  <si>
    <t>CTF-Hmin
decreased%</t>
  </si>
  <si>
    <t>HVT</t>
  </si>
</sst>
</file>

<file path=xl/styles.xml><?xml version="1.0" encoding="utf-8"?>
<styleSheet xmlns="http://schemas.openxmlformats.org/spreadsheetml/2006/main">
  <numFmts count="7">
    <numFmt numFmtId="176" formatCode="[$-409]d\-mmm;@"/>
    <numFmt numFmtId="41" formatCode="_ * #,##0_ ;_ * \-#,##0_ ;_ * &quot;-&quot;_ ;_ @_ "/>
    <numFmt numFmtId="177" formatCode="0.000_ "/>
    <numFmt numFmtId="178" formatCode="0.0%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2E03BB"/>
      <name val="微软雅黑"/>
      <charset val="134"/>
    </font>
    <font>
      <sz val="10"/>
      <color rgb="FF2E03BB"/>
      <name val="微软雅黑"/>
      <charset val="134"/>
    </font>
    <font>
      <sz val="10"/>
      <name val="微软雅黑"/>
      <charset val="134"/>
    </font>
    <font>
      <sz val="10"/>
      <color rgb="FF1D41D5"/>
      <name val="微软雅黑"/>
      <charset val="134"/>
    </font>
    <font>
      <sz val="11"/>
      <color rgb="FF2E03BB"/>
      <name val="宋体"/>
      <charset val="134"/>
      <scheme val="minor"/>
    </font>
    <font>
      <sz val="10"/>
      <color rgb="FF0F1115"/>
      <name val="微软雅黑"/>
      <charset val="134"/>
    </font>
    <font>
      <b/>
      <sz val="10"/>
      <color rgb="FFFFFFFF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theme="1"/>
      <name val="Nimbus Roman No9 L"/>
      <charset val="134"/>
    </font>
    <font>
      <sz val="10"/>
      <color theme="1"/>
      <name val="Nimbus Roman No9 L"/>
      <charset val="134"/>
    </font>
    <font>
      <b/>
      <sz val="16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0"/>
      <name val="Verdana"/>
      <charset val="134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vertAlign val="subscript"/>
      <sz val="10"/>
      <color theme="1"/>
      <name val="微软雅黑"/>
      <charset val="134"/>
    </font>
    <font>
      <sz val="10"/>
      <color rgb="FF0000FF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6"/>
      </left>
      <right style="thin">
        <color theme="1" tint="0.6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>
      <alignment vertical="center"/>
    </xf>
    <xf numFmtId="0" fontId="0" fillId="0" borderId="0"/>
    <xf numFmtId="0" fontId="17" fillId="49" borderId="0">
      <alignment vertical="center"/>
    </xf>
    <xf numFmtId="0" fontId="16" fillId="48" borderId="0">
      <alignment vertical="center"/>
    </xf>
    <xf numFmtId="0" fontId="17" fillId="7" borderId="0">
      <alignment vertical="center"/>
    </xf>
    <xf numFmtId="0" fontId="33" fillId="47" borderId="17">
      <alignment vertical="center"/>
    </xf>
    <xf numFmtId="0" fontId="16" fillId="46" borderId="0">
      <alignment vertical="center"/>
    </xf>
    <xf numFmtId="0" fontId="16" fillId="34" borderId="0">
      <alignment vertical="center"/>
    </xf>
    <xf numFmtId="44" fontId="0" fillId="0" borderId="0">
      <alignment vertical="center"/>
    </xf>
    <xf numFmtId="0" fontId="17" fillId="13" borderId="0">
      <alignment vertical="center"/>
    </xf>
    <xf numFmtId="9" fontId="0" fillId="0" borderId="0">
      <alignment vertical="center"/>
    </xf>
    <xf numFmtId="0" fontId="17" fillId="37" borderId="0">
      <alignment vertical="center"/>
    </xf>
    <xf numFmtId="0" fontId="17" fillId="45" borderId="0">
      <alignment vertical="center"/>
    </xf>
    <xf numFmtId="0" fontId="17" fillId="35" borderId="0">
      <alignment vertical="center"/>
    </xf>
    <xf numFmtId="0" fontId="17" fillId="40" borderId="0">
      <alignment vertical="center"/>
    </xf>
    <xf numFmtId="0" fontId="17" fillId="29" borderId="0">
      <alignment vertical="center"/>
    </xf>
    <xf numFmtId="0" fontId="28" fillId="30" borderId="17">
      <alignment vertical="center"/>
    </xf>
    <xf numFmtId="0" fontId="17" fillId="3" borderId="0">
      <alignment vertical="center"/>
    </xf>
    <xf numFmtId="0" fontId="22" fillId="26" borderId="0">
      <alignment vertical="center"/>
    </xf>
    <xf numFmtId="0" fontId="16" fillId="24" borderId="0">
      <alignment vertical="center"/>
    </xf>
    <xf numFmtId="0" fontId="26" fillId="32" borderId="0">
      <alignment vertical="center"/>
    </xf>
    <xf numFmtId="0" fontId="16" fillId="33" borderId="0">
      <alignment vertical="center"/>
    </xf>
    <xf numFmtId="0" fontId="21" fillId="0" borderId="14">
      <alignment vertical="center"/>
    </xf>
    <xf numFmtId="0" fontId="29" fillId="41" borderId="0">
      <alignment vertical="center"/>
    </xf>
    <xf numFmtId="0" fontId="30" fillId="42" borderId="18">
      <alignment vertical="center"/>
    </xf>
    <xf numFmtId="0" fontId="25" fillId="30" borderId="15">
      <alignment vertical="center"/>
    </xf>
    <xf numFmtId="0" fontId="32" fillId="0" borderId="19">
      <alignment vertical="center"/>
    </xf>
    <xf numFmtId="0" fontId="27" fillId="0" borderId="0">
      <alignment vertical="center"/>
    </xf>
    <xf numFmtId="0" fontId="16" fillId="31" borderId="0">
      <alignment vertical="center"/>
    </xf>
    <xf numFmtId="0" fontId="18" fillId="0" borderId="0">
      <alignment vertical="center"/>
    </xf>
    <xf numFmtId="42" fontId="0" fillId="0" borderId="0">
      <alignment vertical="center"/>
    </xf>
    <xf numFmtId="0" fontId="16" fillId="38" borderId="0">
      <alignment vertical="center"/>
    </xf>
    <xf numFmtId="43" fontId="0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16" fillId="28" borderId="0">
      <alignment vertical="center"/>
    </xf>
    <xf numFmtId="0" fontId="23" fillId="0" borderId="0">
      <alignment vertical="center"/>
    </xf>
    <xf numFmtId="0" fontId="17" fillId="25" borderId="0">
      <alignment vertical="center"/>
    </xf>
    <xf numFmtId="0" fontId="0" fillId="36" borderId="16">
      <alignment vertical="center"/>
    </xf>
    <xf numFmtId="0" fontId="16" fillId="27" borderId="0">
      <alignment vertical="center"/>
    </xf>
    <xf numFmtId="0" fontId="17" fillId="39" borderId="0">
      <alignment vertical="center"/>
    </xf>
    <xf numFmtId="0" fontId="16" fillId="43" borderId="0">
      <alignment vertical="center"/>
    </xf>
    <xf numFmtId="0" fontId="20" fillId="0" borderId="0">
      <alignment vertical="center"/>
    </xf>
    <xf numFmtId="41" fontId="0" fillId="0" borderId="0">
      <alignment vertical="center"/>
    </xf>
    <xf numFmtId="0" fontId="31" fillId="0" borderId="19">
      <alignment vertical="center"/>
    </xf>
    <xf numFmtId="0" fontId="16" fillId="44" borderId="0">
      <alignment vertical="center"/>
    </xf>
    <xf numFmtId="0" fontId="19" fillId="0" borderId="0"/>
    <xf numFmtId="0" fontId="18" fillId="0" borderId="13">
      <alignment vertical="center"/>
    </xf>
    <xf numFmtId="0" fontId="17" fillId="23" borderId="0">
      <alignment vertical="center"/>
    </xf>
    <xf numFmtId="0" fontId="16" fillId="22" borderId="0">
      <alignment vertical="center"/>
    </xf>
    <xf numFmtId="0" fontId="15" fillId="0" borderId="12">
      <alignment vertical="center"/>
    </xf>
  </cellStyleXfs>
  <cellXfs count="18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9" fontId="2" fillId="0" borderId="0" xfId="1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9" fontId="2" fillId="0" borderId="1" xfId="1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9" fontId="2" fillId="0" borderId="1" xfId="10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9" fontId="4" fillId="0" borderId="1" xfId="1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5" fillId="0" borderId="2" xfId="1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/>
    </xf>
    <xf numFmtId="178" fontId="2" fillId="0" borderId="4" xfId="10" applyNumberFormat="1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178" fontId="2" fillId="0" borderId="5" xfId="10" applyNumberFormat="1" applyFont="1" applyBorder="1" applyAlignment="1">
      <alignment horizontal="left" vertical="top" wrapText="1"/>
    </xf>
    <xf numFmtId="0" fontId="2" fillId="12" borderId="6" xfId="0" applyFont="1" applyFill="1" applyBorder="1" applyAlignment="1">
      <alignment horizontal="center" vertical="center"/>
    </xf>
    <xf numFmtId="178" fontId="2" fillId="0" borderId="7" xfId="10" applyNumberFormat="1" applyFont="1" applyBorder="1" applyAlignment="1">
      <alignment horizontal="left" vertical="top" wrapText="1"/>
    </xf>
    <xf numFmtId="0" fontId="2" fillId="12" borderId="5" xfId="0" applyFont="1" applyFill="1" applyBorder="1" applyAlignment="1">
      <alignment horizontal="center" vertical="center"/>
    </xf>
    <xf numFmtId="178" fontId="2" fillId="0" borderId="4" xfId="1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178" fontId="2" fillId="0" borderId="5" xfId="1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178" fontId="2" fillId="0" borderId="7" xfId="10" applyNumberFormat="1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78" fontId="2" fillId="0" borderId="1" xfId="1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9" fontId="5" fillId="0" borderId="1" xfId="1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9" fontId="4" fillId="0" borderId="1" xfId="1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17" borderId="1" xfId="0" applyFont="1" applyFill="1" applyBorder="1" applyAlignment="1">
      <alignment horizontal="center" vertical="center" wrapText="1"/>
    </xf>
    <xf numFmtId="9" fontId="2" fillId="14" borderId="1" xfId="10" applyFont="1" applyFill="1" applyBorder="1" applyAlignment="1">
      <alignment horizontal="center" vertical="center" wrapText="1"/>
    </xf>
    <xf numFmtId="9" fontId="5" fillId="0" borderId="1" xfId="10" applyFont="1" applyBorder="1" applyAlignment="1">
      <alignment horizontal="center" vertical="center"/>
    </xf>
    <xf numFmtId="9" fontId="5" fillId="0" borderId="1" xfId="10" applyNumberFormat="1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2" fillId="0" borderId="0" xfId="1" applyFo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0" applyFont="1" applyFill="1" applyAlignment="1"/>
    <xf numFmtId="0" fontId="2" fillId="0" borderId="0" xfId="1" applyFont="1" applyAlignment="1">
      <alignment horizontal="left" wrapText="1"/>
    </xf>
    <xf numFmtId="0" fontId="9" fillId="18" borderId="8" xfId="0" applyFont="1" applyFill="1" applyBorder="1" applyAlignment="1">
      <alignment horizontal="center" vertical="center" wrapText="1"/>
    </xf>
    <xf numFmtId="0" fontId="10" fillId="19" borderId="1" xfId="1" applyFont="1" applyFill="1" applyBorder="1" applyAlignment="1">
      <alignment horizontal="center" vertical="center" textRotation="90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7" xfId="1" applyFont="1" applyFill="1" applyBorder="1" applyAlignment="1">
      <alignment horizontal="left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76" fontId="2" fillId="7" borderId="1" xfId="1" applyNumberFormat="1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2" fillId="0" borderId="1" xfId="1" applyFont="1" applyBorder="1" applyAlignment="1">
      <alignment vertical="center"/>
    </xf>
    <xf numFmtId="0" fontId="5" fillId="15" borderId="6" xfId="0" applyFont="1" applyFill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/>
    </xf>
    <xf numFmtId="58" fontId="2" fillId="0" borderId="7" xfId="1" applyNumberFormat="1" applyFont="1" applyBorder="1" applyAlignment="1">
      <alignment vertical="center"/>
    </xf>
    <xf numFmtId="0" fontId="6" fillId="0" borderId="4" xfId="1" applyFont="1" applyBorder="1" applyAlignment="1">
      <alignment horizontal="left" vertical="center"/>
    </xf>
    <xf numFmtId="58" fontId="2" fillId="0" borderId="1" xfId="1" applyNumberFormat="1" applyFont="1" applyFill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58" fontId="2" fillId="0" borderId="1" xfId="1" applyNumberFormat="1" applyFont="1" applyBorder="1" applyAlignment="1">
      <alignment vertical="center"/>
    </xf>
    <xf numFmtId="58" fontId="2" fillId="15" borderId="1" xfId="1" applyNumberFormat="1" applyFont="1" applyFill="1" applyBorder="1" applyAlignment="1">
      <alignment horizontal="center"/>
    </xf>
    <xf numFmtId="58" fontId="2" fillId="0" borderId="1" xfId="1" applyNumberFormat="1" applyFont="1" applyFill="1" applyBorder="1" applyAlignment="1">
      <alignment vertical="center"/>
    </xf>
    <xf numFmtId="0" fontId="2" fillId="0" borderId="1" xfId="1" applyFont="1" applyFill="1" applyBorder="1"/>
    <xf numFmtId="0" fontId="2" fillId="0" borderId="1" xfId="1" applyFont="1" applyBorder="1"/>
    <xf numFmtId="0" fontId="2" fillId="15" borderId="1" xfId="1" applyFont="1" applyFill="1" applyBorder="1"/>
    <xf numFmtId="0" fontId="9" fillId="18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0" xfId="1" applyFont="1" applyFill="1" applyAlignment="1">
      <alignment horizontal="left" vertical="center" wrapText="1"/>
    </xf>
    <xf numFmtId="0" fontId="2" fillId="0" borderId="0" xfId="1" applyFont="1" applyFill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14" fontId="2" fillId="0" borderId="0" xfId="1" applyNumberFormat="1" applyFont="1" applyAlignment="1">
      <alignment horizontal="center" vertical="center"/>
    </xf>
    <xf numFmtId="0" fontId="2" fillId="0" borderId="1" xfId="0" applyFont="1" applyFill="1" applyBorder="1" applyAlignment="1"/>
    <xf numFmtId="0" fontId="1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9" fontId="2" fillId="0" borderId="4" xfId="10" applyFont="1" applyBorder="1" applyAlignment="1">
      <alignment horizontal="center" vertical="center"/>
    </xf>
    <xf numFmtId="9" fontId="2" fillId="0" borderId="5" xfId="10" applyFont="1" applyBorder="1" applyAlignment="1">
      <alignment horizontal="center" vertical="center"/>
    </xf>
    <xf numFmtId="9" fontId="2" fillId="0" borderId="7" xfId="1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top" wrapText="1"/>
    </xf>
    <xf numFmtId="0" fontId="12" fillId="9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178" fontId="2" fillId="0" borderId="1" xfId="10" applyNumberFormat="1" applyFont="1" applyBorder="1" applyAlignment="1">
      <alignment horizontal="center" vertical="top" wrapText="1"/>
    </xf>
    <xf numFmtId="10" fontId="2" fillId="0" borderId="1" xfId="0" applyNumberFormat="1" applyFont="1" applyBorder="1" applyAlignment="1">
      <alignment horizontal="center" vertical="top" wrapText="1"/>
    </xf>
    <xf numFmtId="178" fontId="2" fillId="0" borderId="1" xfId="10" applyNumberFormat="1" applyFont="1" applyBorder="1" applyAlignment="1">
      <alignment horizontal="left" vertical="center" wrapText="1"/>
    </xf>
    <xf numFmtId="178" fontId="2" fillId="0" borderId="1" xfId="10" applyNumberFormat="1" applyFont="1" applyBorder="1" applyAlignment="1">
      <alignment horizontal="left" vertical="center"/>
    </xf>
    <xf numFmtId="10" fontId="5" fillId="12" borderId="1" xfId="0" applyNumberFormat="1" applyFont="1" applyFill="1" applyBorder="1" applyAlignment="1">
      <alignment horizontal="center" vertical="top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10" fontId="4" fillId="15" borderId="1" xfId="0" applyNumberFormat="1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20" borderId="10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</cellXfs>
  <cellStyles count="51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Normal 2" xfId="46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dxfs count="9">
    <dxf>
      <fill>
        <patternFill patternType="solid">
          <bgColor rgb="FFFFFF0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  <fill>
        <patternFill patternType="solid">
          <bgColor theme="5" tint="0.4"/>
        </patternFill>
      </fill>
    </dxf>
    <dxf>
      <fill>
        <patternFill patternType="solid">
          <bgColor rgb="FFFF9900"/>
        </patternFill>
      </fill>
    </dxf>
    <dxf>
      <font>
        <strike val="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1D41D5"/>
      <color rgb="000E0AB5"/>
      <color rgb="002E03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ColorStyle" Target="colors17.xml"/><Relationship Id="rId2" Type="http://schemas.microsoft.com/office/2011/relationships/chartStyle" Target="style17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3" Type="http://schemas.microsoft.com/office/2011/relationships/chartColorStyle" Target="colors18.xml"/><Relationship Id="rId2" Type="http://schemas.microsoft.com/office/2011/relationships/chartStyle" Target="style18.xml"/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ColorStyle" Target="colors20.xml"/><Relationship Id="rId2" Type="http://schemas.microsoft.com/office/2011/relationships/chartStyle" Target="style20.xml"/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3" Type="http://schemas.microsoft.com/office/2011/relationships/chartColorStyle" Target="colors21.xml"/><Relationship Id="rId2" Type="http://schemas.microsoft.com/office/2011/relationships/chartStyle" Target="style21.xml"/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ColorStyle" Target="colors22.xml"/><Relationship Id="rId2" Type="http://schemas.microsoft.com/office/2011/relationships/chartStyle" Target="style22.xml"/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ColorStyle" Target="colors23.xml"/><Relationship Id="rId2" Type="http://schemas.microsoft.com/office/2011/relationships/chartStyle" Target="style23.xml"/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ColorStyle" Target="colors24.xml"/><Relationship Id="rId2" Type="http://schemas.microsoft.com/office/2011/relationships/chartStyle" Target="style24.xml"/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ColorStyle" Target="colors25.xml"/><Relationship Id="rId2" Type="http://schemas.microsoft.com/office/2011/relationships/chartStyle" Target="style25.xml"/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26.xml"/><Relationship Id="rId2" Type="http://schemas.microsoft.com/office/2011/relationships/chartStyle" Target="style26.xml"/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ColorStyle" Target="colors27.xml"/><Relationship Id="rId2" Type="http://schemas.microsoft.com/office/2011/relationships/chartStyle" Target="style27.xml"/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3" Type="http://schemas.microsoft.com/office/2011/relationships/chartColorStyle" Target="colors28.xml"/><Relationship Id="rId2" Type="http://schemas.microsoft.com/office/2011/relationships/chartStyle" Target="style28.xml"/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3" Type="http://schemas.microsoft.com/office/2011/relationships/chartColorStyle" Target="colors29.xml"/><Relationship Id="rId2" Type="http://schemas.microsoft.com/office/2011/relationships/chartStyle" Target="style29.xml"/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3" Type="http://schemas.microsoft.com/office/2011/relationships/chartColorStyle" Target="colors30.xml"/><Relationship Id="rId2" Type="http://schemas.microsoft.com/office/2011/relationships/chartStyle" Target="style30.xml"/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3" Type="http://schemas.microsoft.com/office/2011/relationships/chartColorStyle" Target="colors31.xml"/><Relationship Id="rId2" Type="http://schemas.microsoft.com/office/2011/relationships/chartStyle" Target="style31.xml"/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3" Type="http://schemas.microsoft.com/office/2011/relationships/chartColorStyle" Target="colors32.xml"/><Relationship Id="rId2" Type="http://schemas.microsoft.com/office/2011/relationships/chartStyle" Target="style32.xml"/><Relationship Id="rId1" Type="http://schemas.openxmlformats.org/officeDocument/2006/relationships/themeOverride" Target="../theme/themeOverride32.xml"/></Relationships>
</file>

<file path=xl/charts/_rels/chart33.xml.rels><?xml version="1.0" encoding="UTF-8" standalone="yes"?>
<Relationships xmlns="http://schemas.openxmlformats.org/package/2006/relationships"><Relationship Id="rId3" Type="http://schemas.microsoft.com/office/2011/relationships/chartColorStyle" Target="colors33.xml"/><Relationship Id="rId2" Type="http://schemas.microsoft.com/office/2011/relationships/chartStyle" Target="style33.xml"/><Relationship Id="rId1" Type="http://schemas.openxmlformats.org/officeDocument/2006/relationships/themeOverride" Target="../theme/themeOverride33.xml"/></Relationships>
</file>

<file path=xl/charts/_rels/chart34.xml.rels><?xml version="1.0" encoding="UTF-8" standalone="yes"?>
<Relationships xmlns="http://schemas.openxmlformats.org/package/2006/relationships"><Relationship Id="rId3" Type="http://schemas.microsoft.com/office/2011/relationships/chartColorStyle" Target="colors34.xml"/><Relationship Id="rId2" Type="http://schemas.microsoft.com/office/2011/relationships/chartStyle" Target="style34.xml"/><Relationship Id="rId1" Type="http://schemas.openxmlformats.org/officeDocument/2006/relationships/themeOverride" Target="../theme/themeOverride34.xml"/></Relationships>
</file>

<file path=xl/charts/_rels/chart35.xml.rels><?xml version="1.0" encoding="UTF-8" standalone="yes"?>
<Relationships xmlns="http://schemas.openxmlformats.org/package/2006/relationships"><Relationship Id="rId3" Type="http://schemas.microsoft.com/office/2011/relationships/chartColorStyle" Target="colors35.xml"/><Relationship Id="rId2" Type="http://schemas.microsoft.com/office/2011/relationships/chartStyle" Target="style35.xml"/><Relationship Id="rId1" Type="http://schemas.openxmlformats.org/officeDocument/2006/relationships/themeOverride" Target="../theme/themeOverride35.xml"/></Relationships>
</file>

<file path=xl/charts/_rels/chart36.xml.rels><?xml version="1.0" encoding="UTF-8" standalone="yes"?>
<Relationships xmlns="http://schemas.openxmlformats.org/package/2006/relationships"><Relationship Id="rId3" Type="http://schemas.microsoft.com/office/2011/relationships/chartColorStyle" Target="colors36.xml"/><Relationship Id="rId2" Type="http://schemas.microsoft.com/office/2011/relationships/chartStyle" Target="style36.xml"/><Relationship Id="rId1" Type="http://schemas.openxmlformats.org/officeDocument/2006/relationships/themeOverride" Target="../theme/themeOverride36.xml"/></Relationships>
</file>

<file path=xl/charts/_rels/chart37.xml.rels><?xml version="1.0" encoding="UTF-8" standalone="yes"?>
<Relationships xmlns="http://schemas.openxmlformats.org/package/2006/relationships"><Relationship Id="rId3" Type="http://schemas.microsoft.com/office/2011/relationships/chartColorStyle" Target="colors37.xml"/><Relationship Id="rId2" Type="http://schemas.microsoft.com/office/2011/relationships/chartStyle" Target="style37.xml"/><Relationship Id="rId1" Type="http://schemas.openxmlformats.org/officeDocument/2006/relationships/themeOverride" Target="../theme/themeOverride37.xml"/></Relationships>
</file>

<file path=xl/charts/_rels/chart38.xml.rels><?xml version="1.0" encoding="UTF-8" standalone="yes"?>
<Relationships xmlns="http://schemas.openxmlformats.org/package/2006/relationships"><Relationship Id="rId3" Type="http://schemas.microsoft.com/office/2011/relationships/chartColorStyle" Target="colors38.xml"/><Relationship Id="rId2" Type="http://schemas.microsoft.com/office/2011/relationships/chartStyle" Target="style38.xml"/><Relationship Id="rId1" Type="http://schemas.openxmlformats.org/officeDocument/2006/relationships/themeOverride" Target="../theme/themeOverride38.xml"/></Relationships>
</file>

<file path=xl/charts/_rels/chart39.xml.rels><?xml version="1.0" encoding="UTF-8" standalone="yes"?>
<Relationships xmlns="http://schemas.openxmlformats.org/package/2006/relationships"><Relationship Id="rId3" Type="http://schemas.microsoft.com/office/2011/relationships/chartColorStyle" Target="colors39.xml"/><Relationship Id="rId2" Type="http://schemas.microsoft.com/office/2011/relationships/chartStyle" Target="style39.xml"/><Relationship Id="rId1" Type="http://schemas.openxmlformats.org/officeDocument/2006/relationships/themeOverride" Target="../theme/themeOverride39.xml"/></Relationships>
</file>

<file path=xl/charts/_rels/chart40.xml.rels><?xml version="1.0" encoding="UTF-8" standalone="yes"?>
<Relationships xmlns="http://schemas.openxmlformats.org/package/2006/relationships"><Relationship Id="rId3" Type="http://schemas.microsoft.com/office/2011/relationships/chartColorStyle" Target="colors40.xml"/><Relationship Id="rId2" Type="http://schemas.microsoft.com/office/2011/relationships/chartStyle" Target="style40.xml"/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3" Type="http://schemas.microsoft.com/office/2011/relationships/chartColorStyle" Target="colors41.xml"/><Relationship Id="rId2" Type="http://schemas.microsoft.com/office/2011/relationships/chartStyle" Target="style41.xml"/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3" Type="http://schemas.microsoft.com/office/2011/relationships/chartColorStyle" Target="colors42.xml"/><Relationship Id="rId2" Type="http://schemas.microsoft.com/office/2011/relationships/chartStyle" Target="style42.xml"/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3" Type="http://schemas.microsoft.com/office/2011/relationships/chartColorStyle" Target="colors43.xml"/><Relationship Id="rId2" Type="http://schemas.microsoft.com/office/2011/relationships/chartStyle" Target="style43.xml"/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3" Type="http://schemas.microsoft.com/office/2011/relationships/chartColorStyle" Target="colors44.xml"/><Relationship Id="rId2" Type="http://schemas.microsoft.com/office/2011/relationships/chartStyle" Target="style44.xml"/><Relationship Id="rId1" Type="http://schemas.openxmlformats.org/officeDocument/2006/relationships/themeOverride" Target="../theme/themeOverride44.xml"/></Relationships>
</file>

<file path=xl/charts/_rels/chart45.xml.rels><?xml version="1.0" encoding="UTF-8" standalone="yes"?>
<Relationships xmlns="http://schemas.openxmlformats.org/package/2006/relationships"><Relationship Id="rId3" Type="http://schemas.microsoft.com/office/2011/relationships/chartColorStyle" Target="colors45.xml"/><Relationship Id="rId2" Type="http://schemas.microsoft.com/office/2011/relationships/chartStyle" Target="style45.xml"/><Relationship Id="rId1" Type="http://schemas.openxmlformats.org/officeDocument/2006/relationships/themeOverride" Target="../theme/themeOverride45.xml"/></Relationships>
</file>

<file path=xl/charts/_rels/chart46.xml.rels><?xml version="1.0" encoding="UTF-8" standalone="yes"?>
<Relationships xmlns="http://schemas.openxmlformats.org/package/2006/relationships"><Relationship Id="rId3" Type="http://schemas.microsoft.com/office/2011/relationships/chartColorStyle" Target="colors46.xml"/><Relationship Id="rId2" Type="http://schemas.microsoft.com/office/2011/relationships/chartStyle" Target="style46.xml"/><Relationship Id="rId1" Type="http://schemas.openxmlformats.org/officeDocument/2006/relationships/themeOverride" Target="../theme/themeOverride46.xml"/></Relationships>
</file>

<file path=xl/charts/_rels/chart47.xml.rels><?xml version="1.0" encoding="UTF-8" standalone="yes"?>
<Relationships xmlns="http://schemas.openxmlformats.org/package/2006/relationships"><Relationship Id="rId3" Type="http://schemas.microsoft.com/office/2011/relationships/chartColorStyle" Target="colors47.xml"/><Relationship Id="rId2" Type="http://schemas.microsoft.com/office/2011/relationships/chartStyle" Target="style47.xml"/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3" Type="http://schemas.microsoft.com/office/2011/relationships/chartColorStyle" Target="colors48.xml"/><Relationship Id="rId2" Type="http://schemas.microsoft.com/office/2011/relationships/chartStyle" Target="style48.xml"/><Relationship Id="rId1" Type="http://schemas.openxmlformats.org/officeDocument/2006/relationships/themeOverride" Target="../theme/themeOverride48.xml"/></Relationships>
</file>

<file path=xl/charts/_rels/chart49.xml.rels><?xml version="1.0" encoding="UTF-8" standalone="yes"?>
<Relationships xmlns="http://schemas.openxmlformats.org/package/2006/relationships"><Relationship Id="rId3" Type="http://schemas.microsoft.com/office/2011/relationships/chartColorStyle" Target="colors49.xml"/><Relationship Id="rId2" Type="http://schemas.microsoft.com/office/2011/relationships/chartStyle" Target="style49.xml"/><Relationship Id="rId1" Type="http://schemas.openxmlformats.org/officeDocument/2006/relationships/themeOverride" Target="../theme/themeOverride49.xml"/></Relationships>
</file>

<file path=xl/charts/_rels/chart50.xml.rels><?xml version="1.0" encoding="UTF-8" standalone="yes"?>
<Relationships xmlns="http://schemas.openxmlformats.org/package/2006/relationships"><Relationship Id="rId3" Type="http://schemas.microsoft.com/office/2011/relationships/chartColorStyle" Target="colors50.xml"/><Relationship Id="rId2" Type="http://schemas.microsoft.com/office/2011/relationships/chartStyle" Target="style50.xml"/><Relationship Id="rId1" Type="http://schemas.openxmlformats.org/officeDocument/2006/relationships/themeOverride" Target="../theme/themeOverride50.xml"/></Relationships>
</file>

<file path=xl/charts/_rels/chart51.xml.rels><?xml version="1.0" encoding="UTF-8" standalone="yes"?>
<Relationships xmlns="http://schemas.openxmlformats.org/package/2006/relationships"><Relationship Id="rId3" Type="http://schemas.microsoft.com/office/2011/relationships/chartColorStyle" Target="colors51.xml"/><Relationship Id="rId2" Type="http://schemas.microsoft.com/office/2011/relationships/chartStyle" Target="style51.xml"/><Relationship Id="rId1" Type="http://schemas.openxmlformats.org/officeDocument/2006/relationships/themeOverride" Target="../theme/themeOverride51.xml"/></Relationships>
</file>

<file path=xl/charts/_rels/chart52.xml.rels><?xml version="1.0" encoding="UTF-8" standalone="yes"?>
<Relationships xmlns="http://schemas.openxmlformats.org/package/2006/relationships"><Relationship Id="rId3" Type="http://schemas.microsoft.com/office/2011/relationships/chartColorStyle" Target="colors52.xml"/><Relationship Id="rId2" Type="http://schemas.microsoft.com/office/2011/relationships/chartStyle" Target="style52.xml"/><Relationship Id="rId1" Type="http://schemas.openxmlformats.org/officeDocument/2006/relationships/themeOverride" Target="../theme/themeOverride52.xml"/></Relationships>
</file>

<file path=xl/charts/_rels/chart53.xml.rels><?xml version="1.0" encoding="UTF-8" standalone="yes"?>
<Relationships xmlns="http://schemas.openxmlformats.org/package/2006/relationships"><Relationship Id="rId3" Type="http://schemas.microsoft.com/office/2011/relationships/chartColorStyle" Target="colors53.xml"/><Relationship Id="rId2" Type="http://schemas.microsoft.com/office/2011/relationships/chartStyle" Target="style53.xml"/><Relationship Id="rId1" Type="http://schemas.openxmlformats.org/officeDocument/2006/relationships/themeOverride" Target="../theme/themeOverride53.xml"/></Relationships>
</file>

<file path=xl/charts/_rels/chart54.xml.rels><?xml version="1.0" encoding="UTF-8" standalone="yes"?>
<Relationships xmlns="http://schemas.openxmlformats.org/package/2006/relationships"><Relationship Id="rId3" Type="http://schemas.microsoft.com/office/2011/relationships/chartColorStyle" Target="colors54.xml"/><Relationship Id="rId2" Type="http://schemas.microsoft.com/office/2011/relationships/chartStyle" Target="style54.xml"/><Relationship Id="rId1" Type="http://schemas.openxmlformats.org/officeDocument/2006/relationships/themeOverride" Target="../theme/themeOverride54.xml"/></Relationships>
</file>

<file path=xl/charts/_rels/chart55.xml.rels><?xml version="1.0" encoding="UTF-8" standalone="yes"?>
<Relationships xmlns="http://schemas.openxmlformats.org/package/2006/relationships"><Relationship Id="rId3" Type="http://schemas.microsoft.com/office/2011/relationships/chartColorStyle" Target="colors55.xml"/><Relationship Id="rId2" Type="http://schemas.microsoft.com/office/2011/relationships/chartStyle" Target="style55.xml"/><Relationship Id="rId1" Type="http://schemas.openxmlformats.org/officeDocument/2006/relationships/themeOverride" Target="../theme/themeOverride55.xml"/></Relationships>
</file>

<file path=xl/charts/_rels/chart56.xml.rels><?xml version="1.0" encoding="UTF-8" standalone="yes"?>
<Relationships xmlns="http://schemas.openxmlformats.org/package/2006/relationships"><Relationship Id="rId3" Type="http://schemas.microsoft.com/office/2011/relationships/chartColorStyle" Target="colors56.xml"/><Relationship Id="rId2" Type="http://schemas.microsoft.com/office/2011/relationships/chartStyle" Target="style56.xml"/><Relationship Id="rId1" Type="http://schemas.openxmlformats.org/officeDocument/2006/relationships/themeOverride" Target="../theme/themeOverride56.xml"/></Relationships>
</file>

<file path=xl/charts/_rels/chart57.xml.rels><?xml version="1.0" encoding="UTF-8" standalone="yes"?>
<Relationships xmlns="http://schemas.openxmlformats.org/package/2006/relationships"><Relationship Id="rId3" Type="http://schemas.microsoft.com/office/2011/relationships/chartColorStyle" Target="colors57.xml"/><Relationship Id="rId2" Type="http://schemas.microsoft.com/office/2011/relationships/chartStyle" Target="style57.xml"/><Relationship Id="rId1" Type="http://schemas.openxmlformats.org/officeDocument/2006/relationships/themeOverride" Target="../theme/themeOverride57.xml"/></Relationships>
</file>

<file path=xl/charts/_rels/chart58.xml.rels><?xml version="1.0" encoding="UTF-8" standalone="yes"?>
<Relationships xmlns="http://schemas.openxmlformats.org/package/2006/relationships"><Relationship Id="rId3" Type="http://schemas.microsoft.com/office/2011/relationships/chartColorStyle" Target="colors58.xml"/><Relationship Id="rId2" Type="http://schemas.microsoft.com/office/2011/relationships/chartStyle" Target="style58.xml"/><Relationship Id="rId1" Type="http://schemas.openxmlformats.org/officeDocument/2006/relationships/themeOverride" Target="../theme/themeOverride58.xml"/></Relationships>
</file>

<file path=xl/charts/_rels/chart59.xml.rels><?xml version="1.0" encoding="UTF-8" standalone="yes"?>
<Relationships xmlns="http://schemas.openxmlformats.org/package/2006/relationships"><Relationship Id="rId3" Type="http://schemas.microsoft.com/office/2011/relationships/chartColorStyle" Target="colors59.xml"/><Relationship Id="rId2" Type="http://schemas.microsoft.com/office/2011/relationships/chartStyle" Target="style59.xml"/><Relationship Id="rId1" Type="http://schemas.openxmlformats.org/officeDocument/2006/relationships/themeOverride" Target="../theme/themeOverride59.xml"/></Relationships>
</file>

<file path=xl/charts/_rels/chart60.xml.rels><?xml version="1.0" encoding="UTF-8" standalone="yes"?>
<Relationships xmlns="http://schemas.openxmlformats.org/package/2006/relationships"><Relationship Id="rId3" Type="http://schemas.microsoft.com/office/2011/relationships/chartColorStyle" Target="colors60.xml"/><Relationship Id="rId2" Type="http://schemas.microsoft.com/office/2011/relationships/chartStyle" Target="style60.xml"/><Relationship Id="rId1" Type="http://schemas.openxmlformats.org/officeDocument/2006/relationships/themeOverride" Target="../theme/themeOverride60.xml"/></Relationships>
</file>

<file path=xl/charts/_rels/chart61.xml.rels><?xml version="1.0" encoding="UTF-8" standalone="yes"?>
<Relationships xmlns="http://schemas.openxmlformats.org/package/2006/relationships"><Relationship Id="rId3" Type="http://schemas.microsoft.com/office/2011/relationships/chartColorStyle" Target="colors61.xml"/><Relationship Id="rId2" Type="http://schemas.microsoft.com/office/2011/relationships/chartStyle" Target="style61.xml"/><Relationship Id="rId1" Type="http://schemas.openxmlformats.org/officeDocument/2006/relationships/themeOverride" Target="../theme/themeOverride61.xml"/></Relationships>
</file>

<file path=xl/charts/_rels/chart62.xml.rels><?xml version="1.0" encoding="UTF-8" standalone="yes"?>
<Relationships xmlns="http://schemas.openxmlformats.org/package/2006/relationships"><Relationship Id="rId3" Type="http://schemas.microsoft.com/office/2011/relationships/chartColorStyle" Target="colors62.xml"/><Relationship Id="rId2" Type="http://schemas.microsoft.com/office/2011/relationships/chartStyle" Target="style62.xml"/><Relationship Id="rId1" Type="http://schemas.openxmlformats.org/officeDocument/2006/relationships/themeOverride" Target="../theme/themeOverride62.xml"/></Relationships>
</file>

<file path=xl/charts/_rels/chart63.xml.rels><?xml version="1.0" encoding="UTF-8" standalone="yes"?>
<Relationships xmlns="http://schemas.openxmlformats.org/package/2006/relationships"><Relationship Id="rId3" Type="http://schemas.microsoft.com/office/2011/relationships/chartColorStyle" Target="colors63.xml"/><Relationship Id="rId2" Type="http://schemas.microsoft.com/office/2011/relationships/chartStyle" Target="style63.xml"/><Relationship Id="rId1" Type="http://schemas.openxmlformats.org/officeDocument/2006/relationships/themeOverride" Target="../theme/themeOverride63.xml"/></Relationships>
</file>

<file path=xl/charts/_rels/chart64.xml.rels><?xml version="1.0" encoding="UTF-8" standalone="yes"?>
<Relationships xmlns="http://schemas.openxmlformats.org/package/2006/relationships"><Relationship Id="rId3" Type="http://schemas.microsoft.com/office/2011/relationships/chartColorStyle" Target="colors64.xml"/><Relationship Id="rId2" Type="http://schemas.microsoft.com/office/2011/relationships/chartStyle" Target="style64.xml"/><Relationship Id="rId1" Type="http://schemas.openxmlformats.org/officeDocument/2006/relationships/themeOverride" Target="../theme/themeOverride64.xml"/></Relationships>
</file>

<file path=xl/charts/_rels/chart65.xml.rels><?xml version="1.0" encoding="UTF-8" standalone="yes"?>
<Relationships xmlns="http://schemas.openxmlformats.org/package/2006/relationships"><Relationship Id="rId3" Type="http://schemas.microsoft.com/office/2011/relationships/chartColorStyle" Target="colors65.xml"/><Relationship Id="rId2" Type="http://schemas.microsoft.com/office/2011/relationships/chartStyle" Target="style65.xml"/><Relationship Id="rId1" Type="http://schemas.openxmlformats.org/officeDocument/2006/relationships/themeOverride" Target="../theme/themeOverride65.xml"/></Relationships>
</file>

<file path=xl/charts/_rels/chart66.xml.rels><?xml version="1.0" encoding="UTF-8" standalone="yes"?>
<Relationships xmlns="http://schemas.openxmlformats.org/package/2006/relationships"><Relationship Id="rId3" Type="http://schemas.microsoft.com/office/2011/relationships/chartColorStyle" Target="colors66.xml"/><Relationship Id="rId2" Type="http://schemas.microsoft.com/office/2011/relationships/chartStyle" Target="style66.xml"/><Relationship Id="rId1" Type="http://schemas.openxmlformats.org/officeDocument/2006/relationships/themeOverride" Target="../theme/themeOverride66.xml"/></Relationships>
</file>

<file path=xl/charts/_rels/chart67.xml.rels><?xml version="1.0" encoding="UTF-8" standalone="yes"?>
<Relationships xmlns="http://schemas.openxmlformats.org/package/2006/relationships"><Relationship Id="rId3" Type="http://schemas.microsoft.com/office/2011/relationships/chartColorStyle" Target="colors67.xml"/><Relationship Id="rId2" Type="http://schemas.microsoft.com/office/2011/relationships/chartStyle" Target="style67.xml"/><Relationship Id="rId1" Type="http://schemas.openxmlformats.org/officeDocument/2006/relationships/themeOverride" Target="../theme/themeOverride67.xml"/></Relationships>
</file>

<file path=xl/charts/_rels/chart68.xml.rels><?xml version="1.0" encoding="UTF-8" standalone="yes"?>
<Relationships xmlns="http://schemas.openxmlformats.org/package/2006/relationships"><Relationship Id="rId3" Type="http://schemas.microsoft.com/office/2011/relationships/chartColorStyle" Target="colors68.xml"/><Relationship Id="rId2" Type="http://schemas.microsoft.com/office/2011/relationships/chartStyle" Target="style68.xml"/><Relationship Id="rId1" Type="http://schemas.openxmlformats.org/officeDocument/2006/relationships/themeOverride" Target="../theme/themeOverride68.xml"/></Relationships>
</file>

<file path=xl/charts/_rels/chart69.xml.rels><?xml version="1.0" encoding="UTF-8" standalone="yes"?>
<Relationships xmlns="http://schemas.openxmlformats.org/package/2006/relationships"><Relationship Id="rId3" Type="http://schemas.microsoft.com/office/2011/relationships/chartColorStyle" Target="colors69.xml"/><Relationship Id="rId2" Type="http://schemas.microsoft.com/office/2011/relationships/chartStyle" Target="style69.xml"/><Relationship Id="rId1" Type="http://schemas.openxmlformats.org/officeDocument/2006/relationships/themeOverride" Target="../theme/themeOverride69.xml"/></Relationships>
</file>

<file path=xl/charts/_rels/chart70.xml.rels><?xml version="1.0" encoding="UTF-8" standalone="yes"?>
<Relationships xmlns="http://schemas.openxmlformats.org/package/2006/relationships"><Relationship Id="rId3" Type="http://schemas.microsoft.com/office/2011/relationships/chartColorStyle" Target="colors70.xml"/><Relationship Id="rId2" Type="http://schemas.microsoft.com/office/2011/relationships/chartStyle" Target="style70.xml"/><Relationship Id="rId1" Type="http://schemas.openxmlformats.org/officeDocument/2006/relationships/themeOverride" Target="../theme/themeOverride70.xml"/></Relationships>
</file>

<file path=xl/charts/_rels/chart71.xml.rels><?xml version="1.0" encoding="UTF-8" standalone="yes"?>
<Relationships xmlns="http://schemas.openxmlformats.org/package/2006/relationships"><Relationship Id="rId3" Type="http://schemas.microsoft.com/office/2011/relationships/chartColorStyle" Target="colors71.xml"/><Relationship Id="rId2" Type="http://schemas.microsoft.com/office/2011/relationships/chartStyle" Target="style71.xml"/><Relationship Id="rId1" Type="http://schemas.openxmlformats.org/officeDocument/2006/relationships/themeOverride" Target="../theme/themeOverride71.xml"/></Relationships>
</file>

<file path=xl/charts/_rels/chart72.xml.rels><?xml version="1.0" encoding="UTF-8" standalone="yes"?>
<Relationships xmlns="http://schemas.openxmlformats.org/package/2006/relationships"><Relationship Id="rId3" Type="http://schemas.microsoft.com/office/2011/relationships/chartColorStyle" Target="colors72.xml"/><Relationship Id="rId2" Type="http://schemas.microsoft.com/office/2011/relationships/chartStyle" Target="style72.xml"/><Relationship Id="rId1" Type="http://schemas.openxmlformats.org/officeDocument/2006/relationships/themeOverride" Target="../theme/themeOverride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Date'!$F$3:$H$3</c:f>
              <c:strCache>
                <c:ptCount val="1"/>
                <c:pt idx="0">
                  <c:v>T0 1# MGME6G92612400334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Date'!$I$3:$Y$3</c:f>
              <c:numCache>
                <c:formatCode>General</c:formatCode>
                <c:ptCount val="17"/>
                <c:pt idx="0">
                  <c:v>0.553744</c:v>
                </c:pt>
                <c:pt idx="1">
                  <c:v>0.559291</c:v>
                </c:pt>
                <c:pt idx="2">
                  <c:v>0.55186</c:v>
                </c:pt>
                <c:pt idx="3">
                  <c:v>0.53383</c:v>
                </c:pt>
                <c:pt idx="4">
                  <c:v>0.546482</c:v>
                </c:pt>
                <c:pt idx="5">
                  <c:v>0.529355</c:v>
                </c:pt>
                <c:pt idx="6">
                  <c:v>0.520797</c:v>
                </c:pt>
                <c:pt idx="7">
                  <c:v>0.550355</c:v>
                </c:pt>
                <c:pt idx="8">
                  <c:v>0.511707</c:v>
                </c:pt>
                <c:pt idx="9">
                  <c:v>0.528851</c:v>
                </c:pt>
                <c:pt idx="10">
                  <c:v>0.527298</c:v>
                </c:pt>
                <c:pt idx="11">
                  <c:v>0.519227</c:v>
                </c:pt>
                <c:pt idx="12">
                  <c:v>0.485006</c:v>
                </c:pt>
                <c:pt idx="13">
                  <c:v>0.494397</c:v>
                </c:pt>
                <c:pt idx="14">
                  <c:v>0.459244</c:v>
                </c:pt>
                <c:pt idx="15">
                  <c:v>0.465555</c:v>
                </c:pt>
                <c:pt idx="16">
                  <c:v>0.373885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Date'!$F$4:$H$4</c:f>
              <c:strCache>
                <c:ptCount val="1"/>
                <c:pt idx="0">
                  <c:v>T72 1# MGME6G92612400334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Date'!$I$4:$Y$4</c:f>
              <c:numCache>
                <c:formatCode>General</c:formatCode>
                <c:ptCount val="17"/>
                <c:pt idx="0">
                  <c:v>0.550488</c:v>
                </c:pt>
                <c:pt idx="1">
                  <c:v>0.54126</c:v>
                </c:pt>
                <c:pt idx="2">
                  <c:v>0.544679</c:v>
                </c:pt>
                <c:pt idx="3">
                  <c:v>0.536209</c:v>
                </c:pt>
                <c:pt idx="4">
                  <c:v>0.561325</c:v>
                </c:pt>
                <c:pt idx="5">
                  <c:v>0.54857</c:v>
                </c:pt>
                <c:pt idx="6">
                  <c:v>0.52276</c:v>
                </c:pt>
                <c:pt idx="7">
                  <c:v>0.54568</c:v>
                </c:pt>
                <c:pt idx="8">
                  <c:v>0.509089</c:v>
                </c:pt>
                <c:pt idx="9">
                  <c:v>0.549868</c:v>
                </c:pt>
                <c:pt idx="10">
                  <c:v>0.469064</c:v>
                </c:pt>
                <c:pt idx="11">
                  <c:v>0.510566</c:v>
                </c:pt>
                <c:pt idx="12">
                  <c:v>0.471882</c:v>
                </c:pt>
                <c:pt idx="13">
                  <c:v>0.525363</c:v>
                </c:pt>
                <c:pt idx="14">
                  <c:v>0.509418</c:v>
                </c:pt>
                <c:pt idx="15">
                  <c:v>0.431114</c:v>
                </c:pt>
                <c:pt idx="16">
                  <c:v>0.426307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Date'!$F$5:$H$5</c:f>
              <c:strCache>
                <c:ptCount val="1"/>
                <c:pt idx="0">
                  <c:v>T146 1# MGME6G92612400334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Date'!$I$5:$Y$5</c:f>
              <c:numCache>
                <c:formatCode>General</c:formatCode>
                <c:ptCount val="17"/>
                <c:pt idx="0">
                  <c:v>0.55961</c:v>
                </c:pt>
                <c:pt idx="1">
                  <c:v>0.54824</c:v>
                </c:pt>
                <c:pt idx="2">
                  <c:v>0.537772</c:v>
                </c:pt>
                <c:pt idx="3">
                  <c:v>0.516848</c:v>
                </c:pt>
                <c:pt idx="4">
                  <c:v>0.54146</c:v>
                </c:pt>
                <c:pt idx="5">
                  <c:v>0.542949</c:v>
                </c:pt>
                <c:pt idx="6">
                  <c:v>0.505418</c:v>
                </c:pt>
                <c:pt idx="7">
                  <c:v>0.498996</c:v>
                </c:pt>
                <c:pt idx="8">
                  <c:v>0.50878</c:v>
                </c:pt>
                <c:pt idx="9">
                  <c:v>0.539918</c:v>
                </c:pt>
                <c:pt idx="10">
                  <c:v>0.447473</c:v>
                </c:pt>
                <c:pt idx="11">
                  <c:v>0.473328</c:v>
                </c:pt>
                <c:pt idx="12">
                  <c:v>0.51032</c:v>
                </c:pt>
                <c:pt idx="13">
                  <c:v>0.548157</c:v>
                </c:pt>
                <c:pt idx="14">
                  <c:v>0.511863</c:v>
                </c:pt>
                <c:pt idx="15">
                  <c:v>0.436405</c:v>
                </c:pt>
                <c:pt idx="16">
                  <c:v>0.443795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Date'!$F$6:$H$6</c:f>
              <c:strCache>
                <c:ptCount val="1"/>
                <c:pt idx="0">
                  <c:v>T280 1# MGME6G92612400334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Date'!$I$6:$Y$6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527718146"/>
        <c:axId val="353454810"/>
      </c:lineChart>
      <c:catAx>
        <c:axId val="527718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53454810"/>
        <c:crosses val="autoZero"/>
        <c:auto val="1"/>
        <c:lblAlgn val="ctr"/>
        <c:lblOffset val="100"/>
        <c:noMultiLvlLbl val="0"/>
      </c:catAx>
      <c:valAx>
        <c:axId val="353454810"/>
        <c:scaling>
          <c:orientation val="minMax"/>
          <c:min val="0.4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77181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Date'!$F$3:$H$3</c:f>
              <c:strCache>
                <c:ptCount val="1"/>
                <c:pt idx="0">
                  <c:v>T0 1# MGME6G92612400334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Date'!$Z$3:$AP$3</c:f>
              <c:numCache>
                <c:formatCode>General</c:formatCode>
                <c:ptCount val="17"/>
                <c:pt idx="0">
                  <c:v>0.578225</c:v>
                </c:pt>
                <c:pt idx="1">
                  <c:v>0.574544</c:v>
                </c:pt>
                <c:pt idx="2">
                  <c:v>0.595256</c:v>
                </c:pt>
                <c:pt idx="3">
                  <c:v>0.60052</c:v>
                </c:pt>
                <c:pt idx="4">
                  <c:v>0.535871</c:v>
                </c:pt>
                <c:pt idx="5">
                  <c:v>0.528872</c:v>
                </c:pt>
                <c:pt idx="6">
                  <c:v>0.595627</c:v>
                </c:pt>
                <c:pt idx="7">
                  <c:v>0.57414</c:v>
                </c:pt>
                <c:pt idx="8">
                  <c:v>0.472224</c:v>
                </c:pt>
                <c:pt idx="9">
                  <c:v>0.552223</c:v>
                </c:pt>
                <c:pt idx="10">
                  <c:v>0.60204</c:v>
                </c:pt>
                <c:pt idx="11">
                  <c:v>0.539717</c:v>
                </c:pt>
                <c:pt idx="12">
                  <c:v>0.504874</c:v>
                </c:pt>
                <c:pt idx="13">
                  <c:v>0.530626</c:v>
                </c:pt>
                <c:pt idx="14">
                  <c:v>0.631578</c:v>
                </c:pt>
                <c:pt idx="15">
                  <c:v>0.536323</c:v>
                </c:pt>
                <c:pt idx="16">
                  <c:v>0.361619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Date'!$F$4:$H$4</c:f>
              <c:strCache>
                <c:ptCount val="1"/>
                <c:pt idx="0">
                  <c:v>T72 1# MGME6G92612400334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Date'!$Z$4:$AP$4</c:f>
              <c:numCache>
                <c:formatCode>General</c:formatCode>
                <c:ptCount val="17"/>
                <c:pt idx="0">
                  <c:v>0.56138</c:v>
                </c:pt>
                <c:pt idx="1">
                  <c:v>0.567226</c:v>
                </c:pt>
                <c:pt idx="2">
                  <c:v>0.6022</c:v>
                </c:pt>
                <c:pt idx="3">
                  <c:v>0.569626</c:v>
                </c:pt>
                <c:pt idx="4">
                  <c:v>0.524555</c:v>
                </c:pt>
                <c:pt idx="5">
                  <c:v>0.54181</c:v>
                </c:pt>
                <c:pt idx="6">
                  <c:v>0.548058</c:v>
                </c:pt>
                <c:pt idx="7">
                  <c:v>0.560929</c:v>
                </c:pt>
                <c:pt idx="8">
                  <c:v>0.473193</c:v>
                </c:pt>
                <c:pt idx="9">
                  <c:v>0.551901</c:v>
                </c:pt>
                <c:pt idx="10">
                  <c:v>0.61123</c:v>
                </c:pt>
                <c:pt idx="11">
                  <c:v>0.502728</c:v>
                </c:pt>
                <c:pt idx="12">
                  <c:v>0.474477</c:v>
                </c:pt>
                <c:pt idx="13">
                  <c:v>0.553277</c:v>
                </c:pt>
                <c:pt idx="14">
                  <c:v>0.615761</c:v>
                </c:pt>
                <c:pt idx="15">
                  <c:v>0.501989</c:v>
                </c:pt>
                <c:pt idx="16">
                  <c:v>0.385813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Date'!$F$5:$H$5</c:f>
              <c:strCache>
                <c:ptCount val="1"/>
                <c:pt idx="0">
                  <c:v>T146 1# MGME6G92612400334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Date'!$Z$5:$AP$5</c:f>
              <c:numCache>
                <c:formatCode>General</c:formatCode>
                <c:ptCount val="17"/>
                <c:pt idx="0">
                  <c:v>0.524797</c:v>
                </c:pt>
                <c:pt idx="1">
                  <c:v>0.554862</c:v>
                </c:pt>
                <c:pt idx="2">
                  <c:v>0.575343</c:v>
                </c:pt>
                <c:pt idx="3">
                  <c:v>0.551475</c:v>
                </c:pt>
                <c:pt idx="4">
                  <c:v>0.493146</c:v>
                </c:pt>
                <c:pt idx="5">
                  <c:v>0.524555</c:v>
                </c:pt>
                <c:pt idx="6">
                  <c:v>0.532759</c:v>
                </c:pt>
                <c:pt idx="7">
                  <c:v>0.502515</c:v>
                </c:pt>
                <c:pt idx="8">
                  <c:v>0.446025</c:v>
                </c:pt>
                <c:pt idx="9">
                  <c:v>0.541317</c:v>
                </c:pt>
                <c:pt idx="10">
                  <c:v>0.601668</c:v>
                </c:pt>
                <c:pt idx="11">
                  <c:v>0.452069</c:v>
                </c:pt>
                <c:pt idx="12">
                  <c:v>0.470147</c:v>
                </c:pt>
                <c:pt idx="13">
                  <c:v>0.551539</c:v>
                </c:pt>
                <c:pt idx="14">
                  <c:v>0.616741</c:v>
                </c:pt>
                <c:pt idx="15">
                  <c:v>0.495575</c:v>
                </c:pt>
                <c:pt idx="16">
                  <c:v>0.371043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Date'!$F$6:$H$6</c:f>
              <c:strCache>
                <c:ptCount val="1"/>
                <c:pt idx="0">
                  <c:v>T280 1# MGME6G92612400334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Date'!$Z$6:$AP$6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96543433"/>
        <c:axId val="873696032"/>
      </c:lineChart>
      <c:catAx>
        <c:axId val="796543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73696032"/>
        <c:crosses val="autoZero"/>
        <c:auto val="1"/>
        <c:lblAlgn val="ctr"/>
        <c:lblOffset val="100"/>
        <c:noMultiLvlLbl val="0"/>
      </c:catAx>
      <c:valAx>
        <c:axId val="873696032"/>
        <c:scaling>
          <c:orientation val="minMax"/>
          <c:max val="0.8"/>
          <c:min val="0.3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96543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Date'!$F$7:$H$7</c:f>
              <c:strCache>
                <c:ptCount val="1"/>
                <c:pt idx="0">
                  <c:v>T0 2# MGME6G12612200049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Date'!$I$7:$Y$7</c:f>
              <c:numCache>
                <c:formatCode>General</c:formatCode>
                <c:ptCount val="17"/>
                <c:pt idx="0">
                  <c:v>0.570595</c:v>
                </c:pt>
                <c:pt idx="1">
                  <c:v>0.530979</c:v>
                </c:pt>
                <c:pt idx="2">
                  <c:v>0.55136</c:v>
                </c:pt>
                <c:pt idx="3">
                  <c:v>0.587388</c:v>
                </c:pt>
                <c:pt idx="4">
                  <c:v>0.548501</c:v>
                </c:pt>
                <c:pt idx="5">
                  <c:v>0.541348</c:v>
                </c:pt>
                <c:pt idx="6">
                  <c:v>0.536846</c:v>
                </c:pt>
                <c:pt idx="7">
                  <c:v>0.597417</c:v>
                </c:pt>
                <c:pt idx="8">
                  <c:v>0.530729</c:v>
                </c:pt>
                <c:pt idx="9">
                  <c:v>0.55373</c:v>
                </c:pt>
                <c:pt idx="10">
                  <c:v>0.528261</c:v>
                </c:pt>
                <c:pt idx="11">
                  <c:v>0.578192</c:v>
                </c:pt>
                <c:pt idx="12">
                  <c:v>0.493583</c:v>
                </c:pt>
                <c:pt idx="13">
                  <c:v>0.511232</c:v>
                </c:pt>
                <c:pt idx="14">
                  <c:v>0.45151</c:v>
                </c:pt>
                <c:pt idx="15">
                  <c:v>0.490952</c:v>
                </c:pt>
                <c:pt idx="16">
                  <c:v>0.459133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Date'!$F$8:$H$8</c:f>
              <c:strCache>
                <c:ptCount val="1"/>
                <c:pt idx="0">
                  <c:v>T72 2# MGME6G12612200049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Date'!$I$8:$Y$8</c:f>
              <c:numCache>
                <c:formatCode>General</c:formatCode>
                <c:ptCount val="17"/>
                <c:pt idx="0">
                  <c:v>0.543037</c:v>
                </c:pt>
                <c:pt idx="1">
                  <c:v>0.50543</c:v>
                </c:pt>
                <c:pt idx="2">
                  <c:v>0.545479</c:v>
                </c:pt>
                <c:pt idx="3">
                  <c:v>0.612101</c:v>
                </c:pt>
                <c:pt idx="4">
                  <c:v>0.546934</c:v>
                </c:pt>
                <c:pt idx="5">
                  <c:v>0.536734</c:v>
                </c:pt>
                <c:pt idx="6">
                  <c:v>0.552194</c:v>
                </c:pt>
                <c:pt idx="7">
                  <c:v>0.589524</c:v>
                </c:pt>
                <c:pt idx="8">
                  <c:v>0.516025</c:v>
                </c:pt>
                <c:pt idx="9">
                  <c:v>0.518985</c:v>
                </c:pt>
                <c:pt idx="10">
                  <c:v>0.489581</c:v>
                </c:pt>
                <c:pt idx="11">
                  <c:v>0.559529</c:v>
                </c:pt>
                <c:pt idx="12">
                  <c:v>0.460732</c:v>
                </c:pt>
                <c:pt idx="13">
                  <c:v>0.508766</c:v>
                </c:pt>
                <c:pt idx="14">
                  <c:v>0.501383</c:v>
                </c:pt>
                <c:pt idx="15">
                  <c:v>0.428544</c:v>
                </c:pt>
                <c:pt idx="16">
                  <c:v>0.425761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Date'!$F$9:$H$9</c:f>
              <c:strCache>
                <c:ptCount val="1"/>
                <c:pt idx="0">
                  <c:v>T146 2# MGME6G12612200049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Date'!$I$9:$Y$9</c:f>
              <c:numCache>
                <c:formatCode>General</c:formatCode>
                <c:ptCount val="17"/>
                <c:pt idx="0">
                  <c:v>0.535003</c:v>
                </c:pt>
                <c:pt idx="1">
                  <c:v>0.516941</c:v>
                </c:pt>
                <c:pt idx="2">
                  <c:v>0.530816</c:v>
                </c:pt>
                <c:pt idx="3">
                  <c:v>0.578618</c:v>
                </c:pt>
                <c:pt idx="4">
                  <c:v>0.547935</c:v>
                </c:pt>
                <c:pt idx="5">
                  <c:v>0.547643</c:v>
                </c:pt>
                <c:pt idx="6">
                  <c:v>0.512865</c:v>
                </c:pt>
                <c:pt idx="7">
                  <c:v>0.564241</c:v>
                </c:pt>
                <c:pt idx="8">
                  <c:v>0.54028</c:v>
                </c:pt>
                <c:pt idx="9">
                  <c:v>0.545366</c:v>
                </c:pt>
                <c:pt idx="10">
                  <c:v>0.445857</c:v>
                </c:pt>
                <c:pt idx="11">
                  <c:v>0.54095</c:v>
                </c:pt>
                <c:pt idx="12">
                  <c:v>0.504081</c:v>
                </c:pt>
                <c:pt idx="13">
                  <c:v>0.510494</c:v>
                </c:pt>
                <c:pt idx="14">
                  <c:v>0.479525</c:v>
                </c:pt>
                <c:pt idx="15">
                  <c:v>0.421813</c:v>
                </c:pt>
                <c:pt idx="16">
                  <c:v>0.483998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Date'!$F$10:$H$10</c:f>
              <c:strCache>
                <c:ptCount val="1"/>
                <c:pt idx="0">
                  <c:v>T280 2# MGME6G12612200049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Date'!$I$10:$Y$10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48203368"/>
        <c:axId val="699370052"/>
      </c:lineChart>
      <c:catAx>
        <c:axId val="24820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99370052"/>
        <c:crosses val="autoZero"/>
        <c:auto val="1"/>
        <c:lblAlgn val="ctr"/>
        <c:lblOffset val="100"/>
        <c:noMultiLvlLbl val="0"/>
      </c:catAx>
      <c:valAx>
        <c:axId val="699370052"/>
        <c:scaling>
          <c:orientation val="minMax"/>
          <c:max val="0.7"/>
          <c:min val="0.4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820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Date'!$F$7:$H$7</c:f>
              <c:strCache>
                <c:ptCount val="1"/>
                <c:pt idx="0">
                  <c:v>T0 2# MGME6G12612200049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Date'!$Z$7:$AP$7</c:f>
              <c:numCache>
                <c:formatCode>General</c:formatCode>
                <c:ptCount val="17"/>
                <c:pt idx="0">
                  <c:v>0.59453</c:v>
                </c:pt>
                <c:pt idx="1">
                  <c:v>0.58268</c:v>
                </c:pt>
                <c:pt idx="2">
                  <c:v>0.617748</c:v>
                </c:pt>
                <c:pt idx="3">
                  <c:v>0.610298</c:v>
                </c:pt>
                <c:pt idx="4">
                  <c:v>0.550244</c:v>
                </c:pt>
                <c:pt idx="5">
                  <c:v>0.601465</c:v>
                </c:pt>
                <c:pt idx="6">
                  <c:v>0.617664</c:v>
                </c:pt>
                <c:pt idx="7">
                  <c:v>0.607134</c:v>
                </c:pt>
                <c:pt idx="8">
                  <c:v>0.505373</c:v>
                </c:pt>
                <c:pt idx="9">
                  <c:v>0.591461</c:v>
                </c:pt>
                <c:pt idx="10">
                  <c:v>0.614987</c:v>
                </c:pt>
                <c:pt idx="11">
                  <c:v>0.591631</c:v>
                </c:pt>
                <c:pt idx="12">
                  <c:v>0.4571</c:v>
                </c:pt>
                <c:pt idx="13">
                  <c:v>0.564483</c:v>
                </c:pt>
                <c:pt idx="14">
                  <c:v>0.587725</c:v>
                </c:pt>
                <c:pt idx="15">
                  <c:v>0.533304</c:v>
                </c:pt>
                <c:pt idx="16">
                  <c:v>0.367767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Date'!$F$8:$H$8</c:f>
              <c:strCache>
                <c:ptCount val="1"/>
                <c:pt idx="0">
                  <c:v>T72 2# MGME6G12612200049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Date'!$Z$8:$AP$8</c:f>
              <c:numCache>
                <c:formatCode>General</c:formatCode>
                <c:ptCount val="17"/>
                <c:pt idx="0">
                  <c:v>0.575129</c:v>
                </c:pt>
                <c:pt idx="1">
                  <c:v>0.538913</c:v>
                </c:pt>
                <c:pt idx="2">
                  <c:v>0.60482</c:v>
                </c:pt>
                <c:pt idx="3">
                  <c:v>0.620406</c:v>
                </c:pt>
                <c:pt idx="4">
                  <c:v>0.572569</c:v>
                </c:pt>
                <c:pt idx="5">
                  <c:v>0.603092</c:v>
                </c:pt>
                <c:pt idx="6">
                  <c:v>0.618058</c:v>
                </c:pt>
                <c:pt idx="7">
                  <c:v>0.595032</c:v>
                </c:pt>
                <c:pt idx="8">
                  <c:v>0.514661</c:v>
                </c:pt>
                <c:pt idx="9">
                  <c:v>0.562841</c:v>
                </c:pt>
                <c:pt idx="10">
                  <c:v>0.627276</c:v>
                </c:pt>
                <c:pt idx="11">
                  <c:v>0.608732</c:v>
                </c:pt>
                <c:pt idx="12">
                  <c:v>0.415611</c:v>
                </c:pt>
                <c:pt idx="13">
                  <c:v>0.54271</c:v>
                </c:pt>
                <c:pt idx="14">
                  <c:v>0.586589</c:v>
                </c:pt>
                <c:pt idx="15">
                  <c:v>0.488387</c:v>
                </c:pt>
                <c:pt idx="16">
                  <c:v>0.330672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Date'!$F$9:$H$9</c:f>
              <c:strCache>
                <c:ptCount val="1"/>
                <c:pt idx="0">
                  <c:v>T146 2# MGME6G12612200049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Date'!$Z$9:$AP$9</c:f>
              <c:numCache>
                <c:formatCode>General</c:formatCode>
                <c:ptCount val="17"/>
                <c:pt idx="0">
                  <c:v>0.575499</c:v>
                </c:pt>
                <c:pt idx="1">
                  <c:v>0.554485</c:v>
                </c:pt>
                <c:pt idx="2">
                  <c:v>0.58253</c:v>
                </c:pt>
                <c:pt idx="3">
                  <c:v>0.574004</c:v>
                </c:pt>
                <c:pt idx="4">
                  <c:v>0.528022</c:v>
                </c:pt>
                <c:pt idx="5">
                  <c:v>0.589425</c:v>
                </c:pt>
                <c:pt idx="6">
                  <c:v>0.61406</c:v>
                </c:pt>
                <c:pt idx="7">
                  <c:v>0.567886</c:v>
                </c:pt>
                <c:pt idx="8">
                  <c:v>0.482681</c:v>
                </c:pt>
                <c:pt idx="9">
                  <c:v>0.577343</c:v>
                </c:pt>
                <c:pt idx="10">
                  <c:v>0.61711</c:v>
                </c:pt>
                <c:pt idx="11">
                  <c:v>0.547667</c:v>
                </c:pt>
                <c:pt idx="12">
                  <c:v>0.428813</c:v>
                </c:pt>
                <c:pt idx="13">
                  <c:v>0.560153</c:v>
                </c:pt>
                <c:pt idx="14">
                  <c:v>0.597411</c:v>
                </c:pt>
                <c:pt idx="15">
                  <c:v>0.465382</c:v>
                </c:pt>
                <c:pt idx="16">
                  <c:v>0.363183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Date'!$F$10:$H$10</c:f>
              <c:strCache>
                <c:ptCount val="1"/>
                <c:pt idx="0">
                  <c:v>T280 2# MGME6G12612200049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Date'!$Z$10:$AP$10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31703156"/>
        <c:axId val="52826362"/>
      </c:lineChart>
      <c:catAx>
        <c:axId val="2317031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826362"/>
        <c:crosses val="autoZero"/>
        <c:auto val="1"/>
        <c:lblAlgn val="ctr"/>
        <c:lblOffset val="100"/>
        <c:noMultiLvlLbl val="0"/>
      </c:catAx>
      <c:valAx>
        <c:axId val="52826362"/>
        <c:scaling>
          <c:orientation val="minMax"/>
          <c:max val="0.7"/>
          <c:min val="0.4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31703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Date'!$F$11:$H$11</c:f>
              <c:strCache>
                <c:ptCount val="1"/>
                <c:pt idx="0">
                  <c:v>T0 3# MGME6G12612200104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Date'!$I$11:$Y$11</c:f>
              <c:numCache>
                <c:formatCode>General</c:formatCode>
                <c:ptCount val="17"/>
                <c:pt idx="0">
                  <c:v>0.479448</c:v>
                </c:pt>
                <c:pt idx="1">
                  <c:v>0.5087</c:v>
                </c:pt>
                <c:pt idx="2">
                  <c:v>0.433744</c:v>
                </c:pt>
                <c:pt idx="3">
                  <c:v>0.508918</c:v>
                </c:pt>
                <c:pt idx="4">
                  <c:v>0.48479</c:v>
                </c:pt>
                <c:pt idx="5">
                  <c:v>0.519279</c:v>
                </c:pt>
                <c:pt idx="6">
                  <c:v>0.429787</c:v>
                </c:pt>
                <c:pt idx="7">
                  <c:v>0.548779</c:v>
                </c:pt>
                <c:pt idx="8">
                  <c:v>0.49515</c:v>
                </c:pt>
                <c:pt idx="9">
                  <c:v>0.499411</c:v>
                </c:pt>
                <c:pt idx="10">
                  <c:v>0.473761</c:v>
                </c:pt>
                <c:pt idx="11">
                  <c:v>0.510078</c:v>
                </c:pt>
                <c:pt idx="12">
                  <c:v>0.478474</c:v>
                </c:pt>
                <c:pt idx="13">
                  <c:v>0.47906</c:v>
                </c:pt>
                <c:pt idx="14">
                  <c:v>0.432168</c:v>
                </c:pt>
                <c:pt idx="15">
                  <c:v>0.527614</c:v>
                </c:pt>
                <c:pt idx="16">
                  <c:v>0.455555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Date'!$F$12:$H$12</c:f>
              <c:strCache>
                <c:ptCount val="1"/>
                <c:pt idx="0">
                  <c:v>T72 3# MGME6G12612200104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Date'!$I$12:$Y$12</c:f>
              <c:numCache>
                <c:formatCode>General</c:formatCode>
                <c:ptCount val="17"/>
                <c:pt idx="0">
                  <c:v>0.529692</c:v>
                </c:pt>
                <c:pt idx="1">
                  <c:v>0.523109</c:v>
                </c:pt>
                <c:pt idx="2">
                  <c:v>0.512874</c:v>
                </c:pt>
                <c:pt idx="3">
                  <c:v>0.551588</c:v>
                </c:pt>
                <c:pt idx="4">
                  <c:v>0.557295</c:v>
                </c:pt>
                <c:pt idx="5">
                  <c:v>0.532262</c:v>
                </c:pt>
                <c:pt idx="6">
                  <c:v>0.515111</c:v>
                </c:pt>
                <c:pt idx="7">
                  <c:v>0.576441</c:v>
                </c:pt>
                <c:pt idx="8">
                  <c:v>0.506066</c:v>
                </c:pt>
                <c:pt idx="9">
                  <c:v>0.543074</c:v>
                </c:pt>
                <c:pt idx="10">
                  <c:v>0.494439</c:v>
                </c:pt>
                <c:pt idx="11">
                  <c:v>0.514974</c:v>
                </c:pt>
                <c:pt idx="12">
                  <c:v>0.479057</c:v>
                </c:pt>
                <c:pt idx="13">
                  <c:v>0.476941</c:v>
                </c:pt>
                <c:pt idx="14">
                  <c:v>0.499395</c:v>
                </c:pt>
                <c:pt idx="15">
                  <c:v>0.464299</c:v>
                </c:pt>
                <c:pt idx="16">
                  <c:v>0.458919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Date'!$F$13:$H$13</c:f>
              <c:strCache>
                <c:ptCount val="1"/>
                <c:pt idx="0">
                  <c:v>T146 3# MGME6G12612200104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Date'!$I$13:$Y$13</c:f>
              <c:numCache>
                <c:formatCode>General</c:formatCode>
                <c:ptCount val="17"/>
                <c:pt idx="0">
                  <c:v>0.47607</c:v>
                </c:pt>
                <c:pt idx="1">
                  <c:v>0.510112</c:v>
                </c:pt>
                <c:pt idx="2">
                  <c:v>0.441842</c:v>
                </c:pt>
                <c:pt idx="3">
                  <c:v>0.477795</c:v>
                </c:pt>
                <c:pt idx="4">
                  <c:v>0.53426</c:v>
                </c:pt>
                <c:pt idx="5">
                  <c:v>0.526428</c:v>
                </c:pt>
                <c:pt idx="6">
                  <c:v>0.43977</c:v>
                </c:pt>
                <c:pt idx="7">
                  <c:v>0.498589</c:v>
                </c:pt>
                <c:pt idx="8">
                  <c:v>0.503223</c:v>
                </c:pt>
                <c:pt idx="9">
                  <c:v>0.53309</c:v>
                </c:pt>
                <c:pt idx="10">
                  <c:v>0.446234</c:v>
                </c:pt>
                <c:pt idx="11">
                  <c:v>0.472927</c:v>
                </c:pt>
                <c:pt idx="12">
                  <c:v>0.474083</c:v>
                </c:pt>
                <c:pt idx="13">
                  <c:v>0.489072</c:v>
                </c:pt>
                <c:pt idx="14">
                  <c:v>0.446477</c:v>
                </c:pt>
                <c:pt idx="15">
                  <c:v>0.466482</c:v>
                </c:pt>
                <c:pt idx="16">
                  <c:v>0.465337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Date'!$F$14:$H$14</c:f>
              <c:strCache>
                <c:ptCount val="1"/>
                <c:pt idx="0">
                  <c:v>T280 3# MGME6G12612200104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Date'!$I$14:$Y$14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04320183"/>
        <c:axId val="624904864"/>
      </c:lineChart>
      <c:catAx>
        <c:axId val="40432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24904864"/>
        <c:crosses val="autoZero"/>
        <c:auto val="1"/>
        <c:lblAlgn val="ctr"/>
        <c:lblOffset val="100"/>
        <c:noMultiLvlLbl val="0"/>
      </c:catAx>
      <c:valAx>
        <c:axId val="624904864"/>
        <c:scaling>
          <c:orientation val="minMax"/>
          <c:max val="0.6"/>
          <c:min val="0.4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0432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Date'!$F$11:$H$11</c:f>
              <c:strCache>
                <c:ptCount val="1"/>
                <c:pt idx="0">
                  <c:v>T0 3# MGME6G12612200104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Date'!$Z$11:$AP$11</c:f>
              <c:numCache>
                <c:formatCode>General</c:formatCode>
                <c:ptCount val="17"/>
                <c:pt idx="0">
                  <c:v>0.523583</c:v>
                </c:pt>
                <c:pt idx="1">
                  <c:v>0.545867</c:v>
                </c:pt>
                <c:pt idx="2">
                  <c:v>0.57397</c:v>
                </c:pt>
                <c:pt idx="3">
                  <c:v>0.548608</c:v>
                </c:pt>
                <c:pt idx="4">
                  <c:v>0.517611</c:v>
                </c:pt>
                <c:pt idx="5">
                  <c:v>0.565202</c:v>
                </c:pt>
                <c:pt idx="6">
                  <c:v>0.585919</c:v>
                </c:pt>
                <c:pt idx="7">
                  <c:v>0.564616</c:v>
                </c:pt>
                <c:pt idx="8">
                  <c:v>0.471466</c:v>
                </c:pt>
                <c:pt idx="9">
                  <c:v>0.515083</c:v>
                </c:pt>
                <c:pt idx="10">
                  <c:v>0.597237</c:v>
                </c:pt>
                <c:pt idx="11">
                  <c:v>0.498648</c:v>
                </c:pt>
                <c:pt idx="12">
                  <c:v>0.389014</c:v>
                </c:pt>
                <c:pt idx="13">
                  <c:v>0.486853</c:v>
                </c:pt>
                <c:pt idx="14">
                  <c:v>0.546887</c:v>
                </c:pt>
                <c:pt idx="15">
                  <c:v>0.50738</c:v>
                </c:pt>
                <c:pt idx="16">
                  <c:v>0.310578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Date'!$F$12:$H$12</c:f>
              <c:strCache>
                <c:ptCount val="1"/>
                <c:pt idx="0">
                  <c:v>T72 3# MGME6G12612200104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Date'!$Z$12:$AP$12</c:f>
              <c:numCache>
                <c:formatCode>General</c:formatCode>
                <c:ptCount val="17"/>
                <c:pt idx="0">
                  <c:v>0.535572</c:v>
                </c:pt>
                <c:pt idx="1">
                  <c:v>0.546791</c:v>
                </c:pt>
                <c:pt idx="2">
                  <c:v>0.566786</c:v>
                </c:pt>
                <c:pt idx="3">
                  <c:v>0.548271</c:v>
                </c:pt>
                <c:pt idx="4">
                  <c:v>0.535981</c:v>
                </c:pt>
                <c:pt idx="5">
                  <c:v>0.580639</c:v>
                </c:pt>
                <c:pt idx="6">
                  <c:v>0.599691</c:v>
                </c:pt>
                <c:pt idx="7">
                  <c:v>0.562586</c:v>
                </c:pt>
                <c:pt idx="8">
                  <c:v>0.490666</c:v>
                </c:pt>
                <c:pt idx="9">
                  <c:v>0.53108</c:v>
                </c:pt>
                <c:pt idx="10">
                  <c:v>0.620349</c:v>
                </c:pt>
                <c:pt idx="11">
                  <c:v>0.533928</c:v>
                </c:pt>
                <c:pt idx="12">
                  <c:v>0.389103</c:v>
                </c:pt>
                <c:pt idx="13">
                  <c:v>0.487298</c:v>
                </c:pt>
                <c:pt idx="14">
                  <c:v>0.527093</c:v>
                </c:pt>
                <c:pt idx="15">
                  <c:v>0.479517</c:v>
                </c:pt>
                <c:pt idx="16">
                  <c:v>0.29749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Date'!$F$13:$H$13</c:f>
              <c:strCache>
                <c:ptCount val="1"/>
                <c:pt idx="0">
                  <c:v>T146 3# MGME6G12612200104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Date'!$Z$13:$AP$13</c:f>
              <c:numCache>
                <c:formatCode>General</c:formatCode>
                <c:ptCount val="17"/>
                <c:pt idx="0">
                  <c:v>0.539731</c:v>
                </c:pt>
                <c:pt idx="1">
                  <c:v>0.567421</c:v>
                </c:pt>
                <c:pt idx="2">
                  <c:v>0.569925</c:v>
                </c:pt>
                <c:pt idx="3">
                  <c:v>0.563405</c:v>
                </c:pt>
                <c:pt idx="4">
                  <c:v>0.557207</c:v>
                </c:pt>
                <c:pt idx="5">
                  <c:v>0.600749</c:v>
                </c:pt>
                <c:pt idx="6">
                  <c:v>0.615168</c:v>
                </c:pt>
                <c:pt idx="7">
                  <c:v>0.588177</c:v>
                </c:pt>
                <c:pt idx="8">
                  <c:v>0.510235</c:v>
                </c:pt>
                <c:pt idx="9">
                  <c:v>0.551984</c:v>
                </c:pt>
                <c:pt idx="10">
                  <c:v>0.633547</c:v>
                </c:pt>
                <c:pt idx="11">
                  <c:v>0.547844</c:v>
                </c:pt>
                <c:pt idx="12">
                  <c:v>0.420709</c:v>
                </c:pt>
                <c:pt idx="13">
                  <c:v>0.51058</c:v>
                </c:pt>
                <c:pt idx="14">
                  <c:v>0.576206</c:v>
                </c:pt>
                <c:pt idx="15">
                  <c:v>0.495532</c:v>
                </c:pt>
                <c:pt idx="16">
                  <c:v>0.352456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Date'!$F$14:$H$14</c:f>
              <c:strCache>
                <c:ptCount val="1"/>
                <c:pt idx="0">
                  <c:v>T280 3# MGME6G12612200104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Date'!$Z$14:$AP$14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342104627"/>
        <c:axId val="883539008"/>
      </c:lineChart>
      <c:catAx>
        <c:axId val="3421046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83539008"/>
        <c:crosses val="autoZero"/>
        <c:auto val="1"/>
        <c:lblAlgn val="ctr"/>
        <c:lblOffset val="100"/>
        <c:noMultiLvlLbl val="0"/>
      </c:catAx>
      <c:valAx>
        <c:axId val="883539008"/>
        <c:scaling>
          <c:orientation val="minMax"/>
          <c:max val="0.7"/>
          <c:min val="0.3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421046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Date'!$F$15:$G$15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Date'!$I$15:$Y$15</c:f>
              <c:numCache>
                <c:formatCode>General</c:formatCode>
                <c:ptCount val="17"/>
                <c:pt idx="0">
                  <c:v>0.455418</c:v>
                </c:pt>
                <c:pt idx="1">
                  <c:v>0.482109</c:v>
                </c:pt>
                <c:pt idx="2">
                  <c:v>0.524576</c:v>
                </c:pt>
                <c:pt idx="3">
                  <c:v>0.568704</c:v>
                </c:pt>
                <c:pt idx="4">
                  <c:v>0.445525</c:v>
                </c:pt>
                <c:pt idx="5">
                  <c:v>0.4748</c:v>
                </c:pt>
                <c:pt idx="6">
                  <c:v>0.527612</c:v>
                </c:pt>
                <c:pt idx="7">
                  <c:v>0.538717</c:v>
                </c:pt>
                <c:pt idx="8">
                  <c:v>0.428484</c:v>
                </c:pt>
                <c:pt idx="9">
                  <c:v>0.458135</c:v>
                </c:pt>
                <c:pt idx="10">
                  <c:v>0.553306</c:v>
                </c:pt>
                <c:pt idx="11">
                  <c:v>0.541449</c:v>
                </c:pt>
                <c:pt idx="12">
                  <c:v>0.390129</c:v>
                </c:pt>
                <c:pt idx="13">
                  <c:v>0.447181</c:v>
                </c:pt>
                <c:pt idx="14">
                  <c:v>0.508023</c:v>
                </c:pt>
                <c:pt idx="15">
                  <c:v>0.442059</c:v>
                </c:pt>
                <c:pt idx="16">
                  <c:v>0.340653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Date'!$F$16:$G$16</c:f>
              <c:strCache>
                <c:ptCount val="1"/>
                <c:pt idx="0">
                  <c:v>35cycle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Date'!$I$16:$Y$16</c:f>
              <c:numCache>
                <c:formatCode>General</c:formatCode>
                <c:ptCount val="17"/>
                <c:pt idx="0">
                  <c:v>0.47677</c:v>
                </c:pt>
                <c:pt idx="1">
                  <c:v>0.484433</c:v>
                </c:pt>
                <c:pt idx="2">
                  <c:v>0.511085</c:v>
                </c:pt>
                <c:pt idx="3">
                  <c:v>0.555359</c:v>
                </c:pt>
                <c:pt idx="4">
                  <c:v>0.497586</c:v>
                </c:pt>
                <c:pt idx="5">
                  <c:v>0.496218</c:v>
                </c:pt>
                <c:pt idx="6">
                  <c:v>0.515291</c:v>
                </c:pt>
                <c:pt idx="7">
                  <c:v>0.525472</c:v>
                </c:pt>
                <c:pt idx="8">
                  <c:v>0.422475</c:v>
                </c:pt>
                <c:pt idx="9">
                  <c:v>0.457643</c:v>
                </c:pt>
                <c:pt idx="10">
                  <c:v>0.520235</c:v>
                </c:pt>
                <c:pt idx="11">
                  <c:v>0.494311</c:v>
                </c:pt>
                <c:pt idx="12">
                  <c:v>0.364917</c:v>
                </c:pt>
                <c:pt idx="13">
                  <c:v>0.436521</c:v>
                </c:pt>
                <c:pt idx="14">
                  <c:v>0.523281</c:v>
                </c:pt>
                <c:pt idx="15">
                  <c:v>0.410388</c:v>
                </c:pt>
                <c:pt idx="16">
                  <c:v>0.332985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Date'!$F$17:$G$17</c:f>
              <c:strCache>
                <c:ptCount val="1"/>
                <c:pt idx="0">
                  <c:v>70cycle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Date'!$I$17:$Y$17</c:f>
              <c:numCache>
                <c:formatCode>General</c:formatCode>
                <c:ptCount val="17"/>
                <c:pt idx="0">
                  <c:v>0.376606</c:v>
                </c:pt>
                <c:pt idx="1">
                  <c:v>0.409402</c:v>
                </c:pt>
                <c:pt idx="2">
                  <c:v>0.434279</c:v>
                </c:pt>
                <c:pt idx="3">
                  <c:v>0.508717</c:v>
                </c:pt>
                <c:pt idx="4">
                  <c:v>0.372246</c:v>
                </c:pt>
                <c:pt idx="5">
                  <c:v>0.424141</c:v>
                </c:pt>
                <c:pt idx="6">
                  <c:v>0.442071</c:v>
                </c:pt>
                <c:pt idx="7">
                  <c:v>0.451918</c:v>
                </c:pt>
                <c:pt idx="8">
                  <c:v>0.38545</c:v>
                </c:pt>
                <c:pt idx="9">
                  <c:v>0.417522</c:v>
                </c:pt>
                <c:pt idx="10">
                  <c:v>0.468782</c:v>
                </c:pt>
                <c:pt idx="11">
                  <c:v>0.409688</c:v>
                </c:pt>
                <c:pt idx="12">
                  <c:v>0.367939</c:v>
                </c:pt>
                <c:pt idx="13">
                  <c:v>0.393987</c:v>
                </c:pt>
                <c:pt idx="14">
                  <c:v>0.43402</c:v>
                </c:pt>
                <c:pt idx="15">
                  <c:v>0.33246</c:v>
                </c:pt>
                <c:pt idx="16">
                  <c:v>0.287547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Date'!$F$18:$G$18</c:f>
              <c:strCache>
                <c:ptCount val="1"/>
                <c:pt idx="0">
                  <c:v>100cycle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Date'!$I$18:$Y$18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23419240"/>
        <c:axId val="536580660"/>
      </c:lineChart>
      <c:catAx>
        <c:axId val="82341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6580660"/>
        <c:crosses val="autoZero"/>
        <c:auto val="1"/>
        <c:lblAlgn val="ctr"/>
        <c:lblOffset val="100"/>
        <c:noMultiLvlLbl val="0"/>
      </c:catAx>
      <c:valAx>
        <c:axId val="5365806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2341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Date'!$F$15:$G$15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Date'!$Z$15:$AP$15</c:f>
              <c:numCache>
                <c:formatCode>General</c:formatCode>
                <c:ptCount val="17"/>
                <c:pt idx="0">
                  <c:v>0.556605</c:v>
                </c:pt>
                <c:pt idx="1">
                  <c:v>0.551771</c:v>
                </c:pt>
                <c:pt idx="2">
                  <c:v>0.604025</c:v>
                </c:pt>
                <c:pt idx="3">
                  <c:v>0.588948</c:v>
                </c:pt>
                <c:pt idx="4">
                  <c:v>0.547503</c:v>
                </c:pt>
                <c:pt idx="5">
                  <c:v>0.584888</c:v>
                </c:pt>
                <c:pt idx="6">
                  <c:v>0.614587</c:v>
                </c:pt>
                <c:pt idx="7">
                  <c:v>0.567143</c:v>
                </c:pt>
                <c:pt idx="8">
                  <c:v>0.516422</c:v>
                </c:pt>
                <c:pt idx="9">
                  <c:v>0.549633</c:v>
                </c:pt>
                <c:pt idx="10">
                  <c:v>0.595057</c:v>
                </c:pt>
                <c:pt idx="11">
                  <c:v>0.560423</c:v>
                </c:pt>
                <c:pt idx="12">
                  <c:v>0.505546</c:v>
                </c:pt>
                <c:pt idx="13">
                  <c:v>0.534515</c:v>
                </c:pt>
                <c:pt idx="14">
                  <c:v>0.599931</c:v>
                </c:pt>
                <c:pt idx="15">
                  <c:v>0.447966</c:v>
                </c:pt>
                <c:pt idx="16">
                  <c:v>0.448027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Date'!$F$16:$G$16</c:f>
              <c:strCache>
                <c:ptCount val="1"/>
                <c:pt idx="0">
                  <c:v>35cycle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Date'!$Z$16:$AP$16</c:f>
              <c:numCache>
                <c:formatCode>General</c:formatCode>
                <c:ptCount val="17"/>
                <c:pt idx="0">
                  <c:v>0.568786</c:v>
                </c:pt>
                <c:pt idx="1">
                  <c:v>0.555085</c:v>
                </c:pt>
                <c:pt idx="2">
                  <c:v>0.613537</c:v>
                </c:pt>
                <c:pt idx="3">
                  <c:v>0.586207</c:v>
                </c:pt>
                <c:pt idx="4">
                  <c:v>0.585001</c:v>
                </c:pt>
                <c:pt idx="5">
                  <c:v>0.597081</c:v>
                </c:pt>
                <c:pt idx="6">
                  <c:v>0.605513</c:v>
                </c:pt>
                <c:pt idx="7">
                  <c:v>0.56184</c:v>
                </c:pt>
                <c:pt idx="8">
                  <c:v>0.53005</c:v>
                </c:pt>
                <c:pt idx="9">
                  <c:v>0.546098</c:v>
                </c:pt>
                <c:pt idx="10">
                  <c:v>0.612869</c:v>
                </c:pt>
                <c:pt idx="11">
                  <c:v>0.528402</c:v>
                </c:pt>
                <c:pt idx="12">
                  <c:v>0.492995</c:v>
                </c:pt>
                <c:pt idx="13">
                  <c:v>0.545195</c:v>
                </c:pt>
                <c:pt idx="14">
                  <c:v>0.593024</c:v>
                </c:pt>
                <c:pt idx="15">
                  <c:v>0.443686</c:v>
                </c:pt>
                <c:pt idx="16">
                  <c:v>0.447537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Date'!$F$17:$G$17</c:f>
              <c:strCache>
                <c:ptCount val="1"/>
                <c:pt idx="0">
                  <c:v>70cycle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Date'!$Z$17:$AP$17</c:f>
              <c:numCache>
                <c:formatCode>General</c:formatCode>
                <c:ptCount val="17"/>
                <c:pt idx="0">
                  <c:v>0.498085</c:v>
                </c:pt>
                <c:pt idx="1">
                  <c:v>0.484701</c:v>
                </c:pt>
                <c:pt idx="2">
                  <c:v>0.548633</c:v>
                </c:pt>
                <c:pt idx="3">
                  <c:v>0.518424</c:v>
                </c:pt>
                <c:pt idx="4">
                  <c:v>0.488429</c:v>
                </c:pt>
                <c:pt idx="5">
                  <c:v>0.524803</c:v>
                </c:pt>
                <c:pt idx="6">
                  <c:v>0.554952</c:v>
                </c:pt>
                <c:pt idx="7">
                  <c:v>0.496756</c:v>
                </c:pt>
                <c:pt idx="8">
                  <c:v>0.465542</c:v>
                </c:pt>
                <c:pt idx="9">
                  <c:v>0.502052</c:v>
                </c:pt>
                <c:pt idx="10">
                  <c:v>0.554023</c:v>
                </c:pt>
                <c:pt idx="11">
                  <c:v>0.512772</c:v>
                </c:pt>
                <c:pt idx="12">
                  <c:v>0.473948</c:v>
                </c:pt>
                <c:pt idx="13">
                  <c:v>0.474688</c:v>
                </c:pt>
                <c:pt idx="14">
                  <c:v>0.571549</c:v>
                </c:pt>
                <c:pt idx="15">
                  <c:v>0.367101</c:v>
                </c:pt>
                <c:pt idx="16">
                  <c:v>0.397524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Date'!$F$18:$G$18</c:f>
              <c:strCache>
                <c:ptCount val="1"/>
                <c:pt idx="0">
                  <c:v>100cycle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Date'!$Z$18:$AP$18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21431321"/>
        <c:axId val="578780133"/>
      </c:lineChart>
      <c:catAx>
        <c:axId val="7214313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78780133"/>
        <c:crosses val="autoZero"/>
        <c:auto val="1"/>
        <c:lblAlgn val="ctr"/>
        <c:lblOffset val="100"/>
        <c:noMultiLvlLbl val="0"/>
      </c:catAx>
      <c:valAx>
        <c:axId val="5787801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214313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Date'!$F$19:$G$19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Date'!$I$19:$Y$19</c:f>
              <c:numCache>
                <c:formatCode>General</c:formatCode>
                <c:ptCount val="17"/>
                <c:pt idx="0">
                  <c:v>0.509574</c:v>
                </c:pt>
                <c:pt idx="1">
                  <c:v>0.526057</c:v>
                </c:pt>
                <c:pt idx="2">
                  <c:v>0.507823</c:v>
                </c:pt>
                <c:pt idx="3">
                  <c:v>0.544392</c:v>
                </c:pt>
                <c:pt idx="4">
                  <c:v>0.462814</c:v>
                </c:pt>
                <c:pt idx="5">
                  <c:v>0.452242</c:v>
                </c:pt>
                <c:pt idx="6">
                  <c:v>0.526334</c:v>
                </c:pt>
                <c:pt idx="7">
                  <c:v>0.546228</c:v>
                </c:pt>
                <c:pt idx="8">
                  <c:v>0.439558</c:v>
                </c:pt>
                <c:pt idx="9">
                  <c:v>0.42562</c:v>
                </c:pt>
                <c:pt idx="10">
                  <c:v>0.51661</c:v>
                </c:pt>
                <c:pt idx="11">
                  <c:v>0.551489</c:v>
                </c:pt>
                <c:pt idx="12">
                  <c:v>0.398008</c:v>
                </c:pt>
                <c:pt idx="13">
                  <c:v>0.43121</c:v>
                </c:pt>
                <c:pt idx="14">
                  <c:v>0.456102</c:v>
                </c:pt>
                <c:pt idx="15">
                  <c:v>0.502022</c:v>
                </c:pt>
                <c:pt idx="16">
                  <c:v>0.317664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Date'!$F$20:$G$20</c:f>
              <c:strCache>
                <c:ptCount val="1"/>
                <c:pt idx="0">
                  <c:v>35cycle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Date'!$I$20:$Y$20</c:f>
              <c:numCache>
                <c:formatCode>General</c:formatCode>
                <c:ptCount val="17"/>
                <c:pt idx="0">
                  <c:v>0.495894</c:v>
                </c:pt>
                <c:pt idx="1">
                  <c:v>0.499651</c:v>
                </c:pt>
                <c:pt idx="2">
                  <c:v>0.487811</c:v>
                </c:pt>
                <c:pt idx="3">
                  <c:v>0.526078</c:v>
                </c:pt>
                <c:pt idx="4">
                  <c:v>0.442383</c:v>
                </c:pt>
                <c:pt idx="5">
                  <c:v>0.463146</c:v>
                </c:pt>
                <c:pt idx="6">
                  <c:v>0.486649</c:v>
                </c:pt>
                <c:pt idx="7">
                  <c:v>0.517255</c:v>
                </c:pt>
                <c:pt idx="8">
                  <c:v>0.42923</c:v>
                </c:pt>
                <c:pt idx="9">
                  <c:v>0.426718</c:v>
                </c:pt>
                <c:pt idx="10">
                  <c:v>0.460538</c:v>
                </c:pt>
                <c:pt idx="11">
                  <c:v>0.504906</c:v>
                </c:pt>
                <c:pt idx="12">
                  <c:v>0.406572</c:v>
                </c:pt>
                <c:pt idx="13">
                  <c:v>0.427652</c:v>
                </c:pt>
                <c:pt idx="14">
                  <c:v>0.496314</c:v>
                </c:pt>
                <c:pt idx="15">
                  <c:v>0.461089</c:v>
                </c:pt>
                <c:pt idx="16">
                  <c:v>0.324907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Date'!$F$21:$G$21</c:f>
              <c:strCache>
                <c:ptCount val="1"/>
                <c:pt idx="0">
                  <c:v>70cycle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Date'!$I$21:$Y$21</c:f>
              <c:numCache>
                <c:formatCode>General</c:formatCode>
                <c:ptCount val="17"/>
                <c:pt idx="0">
                  <c:v>0.454533</c:v>
                </c:pt>
                <c:pt idx="1">
                  <c:v>0.451758</c:v>
                </c:pt>
                <c:pt idx="2">
                  <c:v>0.448356</c:v>
                </c:pt>
                <c:pt idx="3">
                  <c:v>0.489872</c:v>
                </c:pt>
                <c:pt idx="4">
                  <c:v>0.384438</c:v>
                </c:pt>
                <c:pt idx="5">
                  <c:v>0.426831</c:v>
                </c:pt>
                <c:pt idx="6">
                  <c:v>0.420967</c:v>
                </c:pt>
                <c:pt idx="7">
                  <c:v>0.468182</c:v>
                </c:pt>
                <c:pt idx="8">
                  <c:v>0.385108</c:v>
                </c:pt>
                <c:pt idx="9">
                  <c:v>0.37585</c:v>
                </c:pt>
                <c:pt idx="10">
                  <c:v>0.42722</c:v>
                </c:pt>
                <c:pt idx="11">
                  <c:v>0.448794</c:v>
                </c:pt>
                <c:pt idx="12">
                  <c:v>0.387364</c:v>
                </c:pt>
                <c:pt idx="13">
                  <c:v>0.420698</c:v>
                </c:pt>
                <c:pt idx="14">
                  <c:v>0.489323</c:v>
                </c:pt>
                <c:pt idx="15">
                  <c:v>0.439683</c:v>
                </c:pt>
                <c:pt idx="16">
                  <c:v>0.308485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Date'!$F$22:$G$22</c:f>
              <c:strCache>
                <c:ptCount val="1"/>
                <c:pt idx="0">
                  <c:v>100cycle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Date'!$I$22:$Y$22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15929305"/>
        <c:axId val="913054881"/>
      </c:lineChart>
      <c:catAx>
        <c:axId val="415929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3054881"/>
        <c:crosses val="autoZero"/>
        <c:auto val="1"/>
        <c:lblAlgn val="ctr"/>
        <c:lblOffset val="100"/>
        <c:noMultiLvlLbl val="0"/>
      </c:catAx>
      <c:valAx>
        <c:axId val="91305488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15929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Date'!$F$19:$G$19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Date'!$Z$19:$AP$19</c:f>
              <c:numCache>
                <c:formatCode>General</c:formatCode>
                <c:ptCount val="17"/>
                <c:pt idx="0">
                  <c:v>0.559027</c:v>
                </c:pt>
                <c:pt idx="1">
                  <c:v>0.554454</c:v>
                </c:pt>
                <c:pt idx="2">
                  <c:v>0.58003</c:v>
                </c:pt>
                <c:pt idx="3">
                  <c:v>0.590172</c:v>
                </c:pt>
                <c:pt idx="4">
                  <c:v>0.498371</c:v>
                </c:pt>
                <c:pt idx="5">
                  <c:v>0.534941</c:v>
                </c:pt>
                <c:pt idx="6">
                  <c:v>0.606191</c:v>
                </c:pt>
                <c:pt idx="7">
                  <c:v>0.571172</c:v>
                </c:pt>
                <c:pt idx="8">
                  <c:v>0.459116</c:v>
                </c:pt>
                <c:pt idx="9">
                  <c:v>0.516582</c:v>
                </c:pt>
                <c:pt idx="10">
                  <c:v>0.624338</c:v>
                </c:pt>
                <c:pt idx="11">
                  <c:v>0.569004</c:v>
                </c:pt>
                <c:pt idx="12">
                  <c:v>0.405093</c:v>
                </c:pt>
                <c:pt idx="13">
                  <c:v>0.540247</c:v>
                </c:pt>
                <c:pt idx="14">
                  <c:v>0.612728</c:v>
                </c:pt>
                <c:pt idx="15">
                  <c:v>0.535524</c:v>
                </c:pt>
                <c:pt idx="16">
                  <c:v>0.349584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Date'!$F$20:$G$20</c:f>
              <c:strCache>
                <c:ptCount val="1"/>
                <c:pt idx="0">
                  <c:v>35cycle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Date'!$Z$20:$AP$20</c:f>
              <c:numCache>
                <c:formatCode>General</c:formatCode>
                <c:ptCount val="17"/>
                <c:pt idx="0">
                  <c:v>0.550191</c:v>
                </c:pt>
                <c:pt idx="1">
                  <c:v>0.517715</c:v>
                </c:pt>
                <c:pt idx="2">
                  <c:v>0.544678</c:v>
                </c:pt>
                <c:pt idx="3">
                  <c:v>0.569832</c:v>
                </c:pt>
                <c:pt idx="4">
                  <c:v>0.471631</c:v>
                </c:pt>
                <c:pt idx="5">
                  <c:v>0.526747</c:v>
                </c:pt>
                <c:pt idx="6">
                  <c:v>0.561596</c:v>
                </c:pt>
                <c:pt idx="7">
                  <c:v>0.551137</c:v>
                </c:pt>
                <c:pt idx="8">
                  <c:v>0.430479</c:v>
                </c:pt>
                <c:pt idx="9">
                  <c:v>0.509969</c:v>
                </c:pt>
                <c:pt idx="10">
                  <c:v>0.634636</c:v>
                </c:pt>
                <c:pt idx="11">
                  <c:v>0.556537</c:v>
                </c:pt>
                <c:pt idx="12">
                  <c:v>0.385983</c:v>
                </c:pt>
                <c:pt idx="13">
                  <c:v>0.534257</c:v>
                </c:pt>
                <c:pt idx="14">
                  <c:v>0.611006</c:v>
                </c:pt>
                <c:pt idx="15">
                  <c:v>0.490847</c:v>
                </c:pt>
                <c:pt idx="16">
                  <c:v>0.356215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Date'!$F$21:$G$21</c:f>
              <c:strCache>
                <c:ptCount val="1"/>
                <c:pt idx="0">
                  <c:v>70cycle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Date'!$Z$21:$AP$21</c:f>
              <c:numCache>
                <c:formatCode>General</c:formatCode>
                <c:ptCount val="17"/>
                <c:pt idx="0">
                  <c:v>0.527749</c:v>
                </c:pt>
                <c:pt idx="1">
                  <c:v>0.495785</c:v>
                </c:pt>
                <c:pt idx="2">
                  <c:v>0.524418</c:v>
                </c:pt>
                <c:pt idx="3">
                  <c:v>0.541877</c:v>
                </c:pt>
                <c:pt idx="4">
                  <c:v>0.380278</c:v>
                </c:pt>
                <c:pt idx="5">
                  <c:v>0.507429</c:v>
                </c:pt>
                <c:pt idx="6">
                  <c:v>0.536378</c:v>
                </c:pt>
                <c:pt idx="7">
                  <c:v>0.508249</c:v>
                </c:pt>
                <c:pt idx="8">
                  <c:v>0.37366</c:v>
                </c:pt>
                <c:pt idx="9">
                  <c:v>0.477611</c:v>
                </c:pt>
                <c:pt idx="10">
                  <c:v>0.613616</c:v>
                </c:pt>
                <c:pt idx="11">
                  <c:v>0.538283</c:v>
                </c:pt>
                <c:pt idx="12">
                  <c:v>0.362648</c:v>
                </c:pt>
                <c:pt idx="13">
                  <c:v>0.503916</c:v>
                </c:pt>
                <c:pt idx="14">
                  <c:v>0.586816</c:v>
                </c:pt>
                <c:pt idx="15">
                  <c:v>0.465645</c:v>
                </c:pt>
                <c:pt idx="16">
                  <c:v>0.305213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Date'!$F$22:$G$22</c:f>
              <c:strCache>
                <c:ptCount val="1"/>
                <c:pt idx="0">
                  <c:v>100cycle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Date'!$Z$22:$AP$22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663804205"/>
        <c:axId val="134577840"/>
      </c:lineChart>
      <c:catAx>
        <c:axId val="663804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4577840"/>
        <c:crosses val="autoZero"/>
        <c:auto val="1"/>
        <c:lblAlgn val="ctr"/>
        <c:lblOffset val="100"/>
        <c:noMultiLvlLbl val="0"/>
      </c:catAx>
      <c:valAx>
        <c:axId val="1345778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3804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Date'!$F$23:$G$23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Date'!$Z$23:$AP$23</c:f>
              <c:numCache>
                <c:formatCode>General</c:formatCode>
                <c:ptCount val="17"/>
                <c:pt idx="0">
                  <c:v>0.594929</c:v>
                </c:pt>
                <c:pt idx="1">
                  <c:v>0.610937</c:v>
                </c:pt>
                <c:pt idx="2">
                  <c:v>0.622599</c:v>
                </c:pt>
                <c:pt idx="3">
                  <c:v>0.608315</c:v>
                </c:pt>
                <c:pt idx="4">
                  <c:v>0.577813</c:v>
                </c:pt>
                <c:pt idx="5">
                  <c:v>0.630899</c:v>
                </c:pt>
                <c:pt idx="6">
                  <c:v>0.638773</c:v>
                </c:pt>
                <c:pt idx="7">
                  <c:v>0.614312</c:v>
                </c:pt>
                <c:pt idx="8">
                  <c:v>0.547275</c:v>
                </c:pt>
                <c:pt idx="9">
                  <c:v>0.608437</c:v>
                </c:pt>
                <c:pt idx="10">
                  <c:v>0.642649</c:v>
                </c:pt>
                <c:pt idx="11">
                  <c:v>0.566562</c:v>
                </c:pt>
                <c:pt idx="12">
                  <c:v>0.522884</c:v>
                </c:pt>
                <c:pt idx="13">
                  <c:v>0.569773</c:v>
                </c:pt>
                <c:pt idx="14">
                  <c:v>0.630686</c:v>
                </c:pt>
                <c:pt idx="15">
                  <c:v>0.491842</c:v>
                </c:pt>
                <c:pt idx="16">
                  <c:v>0.441124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Date'!$F$24:$G$24</c:f>
              <c:strCache>
                <c:ptCount val="1"/>
                <c:pt idx="0">
                  <c:v>35cycle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Date'!$Z$24:$AP$24</c:f>
              <c:numCache>
                <c:formatCode>General</c:formatCode>
                <c:ptCount val="17"/>
                <c:pt idx="0">
                  <c:v>0.593552</c:v>
                </c:pt>
                <c:pt idx="1">
                  <c:v>0.603561</c:v>
                </c:pt>
                <c:pt idx="2">
                  <c:v>0.623037</c:v>
                </c:pt>
                <c:pt idx="3">
                  <c:v>0.604721</c:v>
                </c:pt>
                <c:pt idx="4">
                  <c:v>0.577192</c:v>
                </c:pt>
                <c:pt idx="5">
                  <c:v>0.634046</c:v>
                </c:pt>
                <c:pt idx="6">
                  <c:v>0.633496</c:v>
                </c:pt>
                <c:pt idx="7">
                  <c:v>0.608944</c:v>
                </c:pt>
                <c:pt idx="8">
                  <c:v>0.540448</c:v>
                </c:pt>
                <c:pt idx="9">
                  <c:v>0.605623</c:v>
                </c:pt>
                <c:pt idx="10">
                  <c:v>0.668806</c:v>
                </c:pt>
                <c:pt idx="11">
                  <c:v>0.56544</c:v>
                </c:pt>
                <c:pt idx="12">
                  <c:v>0.522167</c:v>
                </c:pt>
                <c:pt idx="13">
                  <c:v>0.578786</c:v>
                </c:pt>
                <c:pt idx="14">
                  <c:v>0.594638</c:v>
                </c:pt>
                <c:pt idx="15">
                  <c:v>0.461399</c:v>
                </c:pt>
                <c:pt idx="16">
                  <c:v>0.453114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Date'!$F$25:$G$25</c:f>
              <c:strCache>
                <c:ptCount val="1"/>
                <c:pt idx="0">
                  <c:v>70cycle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Date'!$Z$25:$AP$25</c:f>
              <c:numCache>
                <c:formatCode>General</c:formatCode>
                <c:ptCount val="17"/>
                <c:pt idx="0">
                  <c:v>0.523617</c:v>
                </c:pt>
                <c:pt idx="1">
                  <c:v>0.490149</c:v>
                </c:pt>
                <c:pt idx="2">
                  <c:v>0.509455</c:v>
                </c:pt>
                <c:pt idx="3">
                  <c:v>0.531638</c:v>
                </c:pt>
                <c:pt idx="4">
                  <c:v>0.365645</c:v>
                </c:pt>
                <c:pt idx="5">
                  <c:v>0.497775</c:v>
                </c:pt>
                <c:pt idx="6">
                  <c:v>0.535146</c:v>
                </c:pt>
                <c:pt idx="7">
                  <c:v>0.50313</c:v>
                </c:pt>
                <c:pt idx="8">
                  <c:v>0.372802</c:v>
                </c:pt>
                <c:pt idx="9">
                  <c:v>0.470216</c:v>
                </c:pt>
                <c:pt idx="10">
                  <c:v>0.608779</c:v>
                </c:pt>
                <c:pt idx="11">
                  <c:v>0.532516</c:v>
                </c:pt>
                <c:pt idx="12">
                  <c:v>0.35801</c:v>
                </c:pt>
                <c:pt idx="13">
                  <c:v>0.501438</c:v>
                </c:pt>
                <c:pt idx="14">
                  <c:v>0.587196</c:v>
                </c:pt>
                <c:pt idx="15">
                  <c:v>0.460866</c:v>
                </c:pt>
                <c:pt idx="16">
                  <c:v>0.300695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Date'!$F$26:$G$26</c:f>
              <c:strCache>
                <c:ptCount val="1"/>
                <c:pt idx="0">
                  <c:v>100cycle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Date'!$Z$26:$AP$26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27476260"/>
        <c:axId val="929254159"/>
      </c:lineChart>
      <c:catAx>
        <c:axId val="1274762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29254159"/>
        <c:crosses val="autoZero"/>
        <c:auto val="1"/>
        <c:lblAlgn val="ctr"/>
        <c:lblOffset val="100"/>
        <c:noMultiLvlLbl val="0"/>
      </c:catAx>
      <c:valAx>
        <c:axId val="9292541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27476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Date'!$F$23:$G$23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Date'!$I$23:$Y$23</c:f>
              <c:numCache>
                <c:formatCode>General</c:formatCode>
                <c:ptCount val="17"/>
                <c:pt idx="0">
                  <c:v>0.539231</c:v>
                </c:pt>
                <c:pt idx="1">
                  <c:v>0.508647</c:v>
                </c:pt>
                <c:pt idx="2">
                  <c:v>0.497144</c:v>
                </c:pt>
                <c:pt idx="3">
                  <c:v>0.563339</c:v>
                </c:pt>
                <c:pt idx="4">
                  <c:v>0.523141</c:v>
                </c:pt>
                <c:pt idx="5">
                  <c:v>0.538889</c:v>
                </c:pt>
                <c:pt idx="6">
                  <c:v>0.521952</c:v>
                </c:pt>
                <c:pt idx="7">
                  <c:v>0.562231</c:v>
                </c:pt>
                <c:pt idx="8">
                  <c:v>0.505821</c:v>
                </c:pt>
                <c:pt idx="9">
                  <c:v>0.52323</c:v>
                </c:pt>
                <c:pt idx="10">
                  <c:v>0.553118</c:v>
                </c:pt>
                <c:pt idx="11">
                  <c:v>0.527004</c:v>
                </c:pt>
                <c:pt idx="12">
                  <c:v>0.479083</c:v>
                </c:pt>
                <c:pt idx="13">
                  <c:v>0.509387</c:v>
                </c:pt>
                <c:pt idx="14">
                  <c:v>0.513638</c:v>
                </c:pt>
                <c:pt idx="15">
                  <c:v>0.443866</c:v>
                </c:pt>
                <c:pt idx="16">
                  <c:v>0.439787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Date'!$F$24:$G$24</c:f>
              <c:strCache>
                <c:ptCount val="1"/>
                <c:pt idx="0">
                  <c:v>35cycle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Date'!$I$24:$Y$24</c:f>
              <c:numCache>
                <c:formatCode>General</c:formatCode>
                <c:ptCount val="17"/>
                <c:pt idx="0">
                  <c:v>0.52027</c:v>
                </c:pt>
                <c:pt idx="1">
                  <c:v>0.5086</c:v>
                </c:pt>
                <c:pt idx="2">
                  <c:v>0.508764</c:v>
                </c:pt>
                <c:pt idx="3">
                  <c:v>0.570455</c:v>
                </c:pt>
                <c:pt idx="4">
                  <c:v>0.523189</c:v>
                </c:pt>
                <c:pt idx="5">
                  <c:v>0.521596</c:v>
                </c:pt>
                <c:pt idx="6">
                  <c:v>0.534226</c:v>
                </c:pt>
                <c:pt idx="7">
                  <c:v>0.557491</c:v>
                </c:pt>
                <c:pt idx="8">
                  <c:v>0.50485</c:v>
                </c:pt>
                <c:pt idx="9">
                  <c:v>0.534099</c:v>
                </c:pt>
                <c:pt idx="10">
                  <c:v>0.515979</c:v>
                </c:pt>
                <c:pt idx="11">
                  <c:v>0.495052</c:v>
                </c:pt>
                <c:pt idx="12">
                  <c:v>0.47172</c:v>
                </c:pt>
                <c:pt idx="13">
                  <c:v>0.504001</c:v>
                </c:pt>
                <c:pt idx="14">
                  <c:v>0.518646</c:v>
                </c:pt>
                <c:pt idx="15">
                  <c:v>0.402625</c:v>
                </c:pt>
                <c:pt idx="16">
                  <c:v>0.440489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'WG-PRO-CTF Date'!$F$25:$G$25</c:f>
              <c:strCache>
                <c:ptCount val="1"/>
                <c:pt idx="0">
                  <c:v>70cycle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Date'!$I$25:$Y$25</c:f>
              <c:numCache>
                <c:formatCode>General</c:formatCode>
                <c:ptCount val="17"/>
                <c:pt idx="0">
                  <c:v>0.450494</c:v>
                </c:pt>
                <c:pt idx="1">
                  <c:v>0.451224</c:v>
                </c:pt>
                <c:pt idx="2">
                  <c:v>0.442405</c:v>
                </c:pt>
                <c:pt idx="3">
                  <c:v>0.481634</c:v>
                </c:pt>
                <c:pt idx="4">
                  <c:v>0.377544</c:v>
                </c:pt>
                <c:pt idx="5">
                  <c:v>0.42883</c:v>
                </c:pt>
                <c:pt idx="6">
                  <c:v>0.420766</c:v>
                </c:pt>
                <c:pt idx="7">
                  <c:v>0.464619</c:v>
                </c:pt>
                <c:pt idx="8">
                  <c:v>0.392793</c:v>
                </c:pt>
                <c:pt idx="9">
                  <c:v>0.373134</c:v>
                </c:pt>
                <c:pt idx="10">
                  <c:v>0.419291</c:v>
                </c:pt>
                <c:pt idx="11">
                  <c:v>0.440368</c:v>
                </c:pt>
                <c:pt idx="12">
                  <c:v>0.391812</c:v>
                </c:pt>
                <c:pt idx="13">
                  <c:v>0.417085</c:v>
                </c:pt>
                <c:pt idx="14">
                  <c:v>0.487467</c:v>
                </c:pt>
                <c:pt idx="15">
                  <c:v>0.438967</c:v>
                </c:pt>
                <c:pt idx="16">
                  <c:v>0.304804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'WG-PRO-CTF Date'!$F$26:$G$26</c:f>
              <c:strCache>
                <c:ptCount val="1"/>
                <c:pt idx="0">
                  <c:v>100cycle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Date'!$I$26:$Y$26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56341830"/>
        <c:axId val="904071405"/>
      </c:lineChart>
      <c:catAx>
        <c:axId val="856341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04071405"/>
        <c:crosses val="autoZero"/>
        <c:auto val="1"/>
        <c:lblAlgn val="ctr"/>
        <c:lblOffset val="100"/>
        <c:noMultiLvlLbl val="0"/>
      </c:catAx>
      <c:valAx>
        <c:axId val="90407140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56341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Date'!$F$27:$G$27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Date'!$I$27:$Y$27</c:f>
              <c:numCache>
                <c:formatCode>General</c:formatCode>
                <c:ptCount val="17"/>
                <c:pt idx="0">
                  <c:v>0.583889</c:v>
                </c:pt>
                <c:pt idx="1">
                  <c:v>0.572774</c:v>
                </c:pt>
                <c:pt idx="2">
                  <c:v>0.539232</c:v>
                </c:pt>
                <c:pt idx="3">
                  <c:v>0.595338</c:v>
                </c:pt>
                <c:pt idx="4">
                  <c:v>0.561797</c:v>
                </c:pt>
                <c:pt idx="5">
                  <c:v>0.481082</c:v>
                </c:pt>
                <c:pt idx="6">
                  <c:v>0.55161</c:v>
                </c:pt>
                <c:pt idx="7">
                  <c:v>0.585933</c:v>
                </c:pt>
                <c:pt idx="8">
                  <c:v>0.488904</c:v>
                </c:pt>
                <c:pt idx="9">
                  <c:v>0.484623</c:v>
                </c:pt>
                <c:pt idx="10">
                  <c:v>0.514841</c:v>
                </c:pt>
                <c:pt idx="11">
                  <c:v>0.540851</c:v>
                </c:pt>
                <c:pt idx="12">
                  <c:v>0.440372</c:v>
                </c:pt>
                <c:pt idx="13">
                  <c:v>0.492972</c:v>
                </c:pt>
                <c:pt idx="14">
                  <c:v>0.480091</c:v>
                </c:pt>
                <c:pt idx="15">
                  <c:v>0.493556</c:v>
                </c:pt>
                <c:pt idx="16">
                  <c:v>0.425678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Date'!$F$28:$G$28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Date'!$I$28:$Y$28</c:f>
              <c:numCache>
                <c:formatCode>General</c:formatCode>
                <c:ptCount val="17"/>
                <c:pt idx="0">
                  <c:v>0.557687</c:v>
                </c:pt>
                <c:pt idx="1">
                  <c:v>0.576103</c:v>
                </c:pt>
                <c:pt idx="2">
                  <c:v>0.566408</c:v>
                </c:pt>
                <c:pt idx="3">
                  <c:v>0.610945</c:v>
                </c:pt>
                <c:pt idx="4">
                  <c:v>0.582383</c:v>
                </c:pt>
                <c:pt idx="5">
                  <c:v>0.53613</c:v>
                </c:pt>
                <c:pt idx="6">
                  <c:v>0.54944</c:v>
                </c:pt>
                <c:pt idx="7">
                  <c:v>0.552899</c:v>
                </c:pt>
                <c:pt idx="8">
                  <c:v>0.516481</c:v>
                </c:pt>
                <c:pt idx="9">
                  <c:v>0.49125</c:v>
                </c:pt>
                <c:pt idx="10">
                  <c:v>0.465102</c:v>
                </c:pt>
                <c:pt idx="11">
                  <c:v>0.500631</c:v>
                </c:pt>
                <c:pt idx="12">
                  <c:v>0.450369</c:v>
                </c:pt>
                <c:pt idx="13">
                  <c:v>0.499121</c:v>
                </c:pt>
                <c:pt idx="14">
                  <c:v>0.478332</c:v>
                </c:pt>
                <c:pt idx="15">
                  <c:v>0.470358</c:v>
                </c:pt>
                <c:pt idx="16">
                  <c:v>0.429253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50718806"/>
        <c:axId val="636126531"/>
      </c:lineChart>
      <c:catAx>
        <c:axId val="2507188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36126531"/>
        <c:crosses val="autoZero"/>
        <c:auto val="1"/>
        <c:lblAlgn val="ctr"/>
        <c:lblOffset val="100"/>
        <c:noMultiLvlLbl val="0"/>
      </c:catAx>
      <c:valAx>
        <c:axId val="636126531"/>
        <c:scaling>
          <c:orientation val="minMax"/>
          <c:max val="0.7"/>
          <c:min val="0.4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507188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Date'!$F$27:$G$27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Date'!$Z$27:$AP$27</c:f>
              <c:numCache>
                <c:formatCode>General</c:formatCode>
                <c:ptCount val="17"/>
                <c:pt idx="0">
                  <c:v>0.564735</c:v>
                </c:pt>
                <c:pt idx="1">
                  <c:v>0.560318</c:v>
                </c:pt>
                <c:pt idx="2">
                  <c:v>0.584034</c:v>
                </c:pt>
                <c:pt idx="3">
                  <c:v>0.583974</c:v>
                </c:pt>
                <c:pt idx="4">
                  <c:v>0.552437</c:v>
                </c:pt>
                <c:pt idx="5">
                  <c:v>0.542666</c:v>
                </c:pt>
                <c:pt idx="6">
                  <c:v>0.602096</c:v>
                </c:pt>
                <c:pt idx="7">
                  <c:v>0.570458</c:v>
                </c:pt>
                <c:pt idx="8">
                  <c:v>0.490992</c:v>
                </c:pt>
                <c:pt idx="9">
                  <c:v>0.552346</c:v>
                </c:pt>
                <c:pt idx="10">
                  <c:v>0.591346</c:v>
                </c:pt>
                <c:pt idx="11">
                  <c:v>0.5454</c:v>
                </c:pt>
                <c:pt idx="12">
                  <c:v>0.400517</c:v>
                </c:pt>
                <c:pt idx="13">
                  <c:v>0.512324</c:v>
                </c:pt>
                <c:pt idx="14">
                  <c:v>0.618922</c:v>
                </c:pt>
                <c:pt idx="15">
                  <c:v>0.545587</c:v>
                </c:pt>
                <c:pt idx="16">
                  <c:v>0.370718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Date'!$F$28:$G$28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Date'!$Z$28:$AP$28</c:f>
              <c:numCache>
                <c:formatCode>General</c:formatCode>
                <c:ptCount val="17"/>
                <c:pt idx="0">
                  <c:v>0.53796</c:v>
                </c:pt>
                <c:pt idx="1">
                  <c:v>0.560389</c:v>
                </c:pt>
                <c:pt idx="2">
                  <c:v>0.586135</c:v>
                </c:pt>
                <c:pt idx="3">
                  <c:v>0.57829</c:v>
                </c:pt>
                <c:pt idx="4">
                  <c:v>0.541514</c:v>
                </c:pt>
                <c:pt idx="5">
                  <c:v>0.57203</c:v>
                </c:pt>
                <c:pt idx="6">
                  <c:v>0.589355</c:v>
                </c:pt>
                <c:pt idx="7">
                  <c:v>0.545944</c:v>
                </c:pt>
                <c:pt idx="8">
                  <c:v>0.506231</c:v>
                </c:pt>
                <c:pt idx="9">
                  <c:v>0.53958</c:v>
                </c:pt>
                <c:pt idx="10">
                  <c:v>0.626576</c:v>
                </c:pt>
                <c:pt idx="11">
                  <c:v>0.53538</c:v>
                </c:pt>
                <c:pt idx="12">
                  <c:v>0.418994</c:v>
                </c:pt>
                <c:pt idx="13">
                  <c:v>0.526092</c:v>
                </c:pt>
                <c:pt idx="14">
                  <c:v>0.602902</c:v>
                </c:pt>
                <c:pt idx="15">
                  <c:v>0.511377</c:v>
                </c:pt>
                <c:pt idx="16">
                  <c:v>0.372085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68247653"/>
        <c:axId val="605654554"/>
      </c:lineChart>
      <c:catAx>
        <c:axId val="8682476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05654554"/>
        <c:crosses val="autoZero"/>
        <c:auto val="1"/>
        <c:lblAlgn val="ctr"/>
        <c:lblOffset val="100"/>
        <c:noMultiLvlLbl val="0"/>
      </c:catAx>
      <c:valAx>
        <c:axId val="605654554"/>
        <c:scaling>
          <c:orientation val="minMax"/>
          <c:max val="0.8"/>
          <c:min val="0.3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82476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Date'!$F$29:$G$29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Date'!$I$29:$Y$29</c:f>
              <c:numCache>
                <c:formatCode>General</c:formatCode>
                <c:ptCount val="17"/>
                <c:pt idx="0">
                  <c:v>0.538077</c:v>
                </c:pt>
                <c:pt idx="1">
                  <c:v>0.510765</c:v>
                </c:pt>
                <c:pt idx="2">
                  <c:v>0.497963</c:v>
                </c:pt>
                <c:pt idx="3">
                  <c:v>0.568818</c:v>
                </c:pt>
                <c:pt idx="4">
                  <c:v>0.577942</c:v>
                </c:pt>
                <c:pt idx="5">
                  <c:v>0.476249</c:v>
                </c:pt>
                <c:pt idx="6">
                  <c:v>0.483537</c:v>
                </c:pt>
                <c:pt idx="7">
                  <c:v>0.574067</c:v>
                </c:pt>
                <c:pt idx="8">
                  <c:v>0.561243</c:v>
                </c:pt>
                <c:pt idx="9">
                  <c:v>0.520485</c:v>
                </c:pt>
                <c:pt idx="10">
                  <c:v>0.453581</c:v>
                </c:pt>
                <c:pt idx="11">
                  <c:v>0.510531</c:v>
                </c:pt>
                <c:pt idx="12">
                  <c:v>0.567746</c:v>
                </c:pt>
                <c:pt idx="13">
                  <c:v>0.47926</c:v>
                </c:pt>
                <c:pt idx="14">
                  <c:v>0.398804</c:v>
                </c:pt>
                <c:pt idx="15">
                  <c:v>0.52503</c:v>
                </c:pt>
                <c:pt idx="16">
                  <c:v>0.44305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Date'!$F$30:$G$30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Date'!$J$30:$Y$30</c:f>
              <c:numCache>
                <c:formatCode>General</c:formatCode>
                <c:ptCount val="16"/>
                <c:pt idx="0">
                  <c:v>0.473929</c:v>
                </c:pt>
                <c:pt idx="1">
                  <c:v>0.439641</c:v>
                </c:pt>
                <c:pt idx="2">
                  <c:v>0.531973</c:v>
                </c:pt>
                <c:pt idx="3">
                  <c:v>0.53113</c:v>
                </c:pt>
                <c:pt idx="4">
                  <c:v>0.501408</c:v>
                </c:pt>
                <c:pt idx="5">
                  <c:v>0.469607</c:v>
                </c:pt>
                <c:pt idx="6">
                  <c:v>0.510728</c:v>
                </c:pt>
                <c:pt idx="7">
                  <c:v>0.547723</c:v>
                </c:pt>
                <c:pt idx="8">
                  <c:v>0.505421</c:v>
                </c:pt>
                <c:pt idx="9">
                  <c:v>0.374405</c:v>
                </c:pt>
                <c:pt idx="10">
                  <c:v>0.446677</c:v>
                </c:pt>
                <c:pt idx="11">
                  <c:v>0.546146</c:v>
                </c:pt>
                <c:pt idx="12">
                  <c:v>0.491381</c:v>
                </c:pt>
                <c:pt idx="13">
                  <c:v>0.47627</c:v>
                </c:pt>
                <c:pt idx="14">
                  <c:v>0.438051</c:v>
                </c:pt>
                <c:pt idx="15">
                  <c:v>0.508849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26092545"/>
        <c:axId val="498928638"/>
      </c:lineChart>
      <c:catAx>
        <c:axId val="4260925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8928638"/>
        <c:crosses val="autoZero"/>
        <c:auto val="1"/>
        <c:lblAlgn val="ctr"/>
        <c:lblOffset val="100"/>
        <c:noMultiLvlLbl val="0"/>
      </c:catAx>
      <c:valAx>
        <c:axId val="498928638"/>
        <c:scaling>
          <c:orientation val="minMax"/>
          <c:max val="0.7"/>
          <c:min val="0.3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260925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Date'!$F$29:$G$29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Date'!$Z$29:$AP$29</c:f>
              <c:numCache>
                <c:formatCode>General</c:formatCode>
                <c:ptCount val="17"/>
                <c:pt idx="0">
                  <c:v>0.587505</c:v>
                </c:pt>
                <c:pt idx="1">
                  <c:v>0.598425</c:v>
                </c:pt>
                <c:pt idx="2">
                  <c:v>0.630197</c:v>
                </c:pt>
                <c:pt idx="3">
                  <c:v>0.630388</c:v>
                </c:pt>
                <c:pt idx="4">
                  <c:v>0.614935</c:v>
                </c:pt>
                <c:pt idx="5">
                  <c:v>0.564269</c:v>
                </c:pt>
                <c:pt idx="6">
                  <c:v>0.614838</c:v>
                </c:pt>
                <c:pt idx="7">
                  <c:v>0.619283</c:v>
                </c:pt>
                <c:pt idx="8">
                  <c:v>0.579603</c:v>
                </c:pt>
                <c:pt idx="9">
                  <c:v>0.580043</c:v>
                </c:pt>
                <c:pt idx="10">
                  <c:v>0.580893</c:v>
                </c:pt>
                <c:pt idx="11">
                  <c:v>0.59427</c:v>
                </c:pt>
                <c:pt idx="12">
                  <c:v>0.579162</c:v>
                </c:pt>
                <c:pt idx="13">
                  <c:v>0.559281</c:v>
                </c:pt>
                <c:pt idx="14">
                  <c:v>0.563424</c:v>
                </c:pt>
                <c:pt idx="15">
                  <c:v>0.573822</c:v>
                </c:pt>
                <c:pt idx="16">
                  <c:v>0.482154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Date'!$F$30:$G$30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Date'!$Z$30:$AP$30</c:f>
              <c:numCache>
                <c:formatCode>General</c:formatCode>
                <c:ptCount val="17"/>
                <c:pt idx="0">
                  <c:v>0.56858</c:v>
                </c:pt>
                <c:pt idx="1">
                  <c:v>0.57485</c:v>
                </c:pt>
                <c:pt idx="2">
                  <c:v>0.606535</c:v>
                </c:pt>
                <c:pt idx="3">
                  <c:v>0.596479</c:v>
                </c:pt>
                <c:pt idx="4">
                  <c:v>0.577635</c:v>
                </c:pt>
                <c:pt idx="5">
                  <c:v>0.587617</c:v>
                </c:pt>
                <c:pt idx="6">
                  <c:v>0.578566</c:v>
                </c:pt>
                <c:pt idx="7">
                  <c:v>0.587462</c:v>
                </c:pt>
                <c:pt idx="8">
                  <c:v>0.569964</c:v>
                </c:pt>
                <c:pt idx="9">
                  <c:v>0.571424</c:v>
                </c:pt>
                <c:pt idx="10">
                  <c:v>0.548694</c:v>
                </c:pt>
                <c:pt idx="11">
                  <c:v>0.589663</c:v>
                </c:pt>
                <c:pt idx="12">
                  <c:v>0.577228</c:v>
                </c:pt>
                <c:pt idx="13">
                  <c:v>0.554338</c:v>
                </c:pt>
                <c:pt idx="14">
                  <c:v>0.564545</c:v>
                </c:pt>
                <c:pt idx="15">
                  <c:v>0.489182</c:v>
                </c:pt>
                <c:pt idx="16">
                  <c:v>0.478049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09296926"/>
        <c:axId val="959614029"/>
      </c:lineChart>
      <c:catAx>
        <c:axId val="7092969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59614029"/>
        <c:crosses val="autoZero"/>
        <c:auto val="1"/>
        <c:lblAlgn val="ctr"/>
        <c:lblOffset val="100"/>
        <c:noMultiLvlLbl val="0"/>
      </c:catAx>
      <c:valAx>
        <c:axId val="959614029"/>
        <c:scaling>
          <c:orientation val="minMax"/>
          <c:max val="0.7"/>
          <c:min val="0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92969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Date'!$F$31:$G$31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Date'!$I$31:$Y$31</c:f>
              <c:numCache>
                <c:formatCode>General</c:formatCode>
                <c:ptCount val="17"/>
                <c:pt idx="0">
                  <c:v>0.478463</c:v>
                </c:pt>
                <c:pt idx="1">
                  <c:v>0.495875</c:v>
                </c:pt>
                <c:pt idx="2">
                  <c:v>0.494492</c:v>
                </c:pt>
                <c:pt idx="3">
                  <c:v>0.514193</c:v>
                </c:pt>
                <c:pt idx="4">
                  <c:v>0.48854</c:v>
                </c:pt>
                <c:pt idx="5">
                  <c:v>0.500702</c:v>
                </c:pt>
                <c:pt idx="6">
                  <c:v>0.481447</c:v>
                </c:pt>
                <c:pt idx="7">
                  <c:v>0.526004</c:v>
                </c:pt>
                <c:pt idx="8">
                  <c:v>0.473078</c:v>
                </c:pt>
                <c:pt idx="9">
                  <c:v>0.483431</c:v>
                </c:pt>
                <c:pt idx="10">
                  <c:v>0.498266</c:v>
                </c:pt>
                <c:pt idx="11">
                  <c:v>0.511937</c:v>
                </c:pt>
                <c:pt idx="12">
                  <c:v>0.434222</c:v>
                </c:pt>
                <c:pt idx="13">
                  <c:v>0.526348</c:v>
                </c:pt>
                <c:pt idx="14">
                  <c:v>0.449857</c:v>
                </c:pt>
                <c:pt idx="15">
                  <c:v>0.444475</c:v>
                </c:pt>
                <c:pt idx="16">
                  <c:v>0.370161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Date'!$F$32:$G$32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'WG-PRO-CTF Date'!$I$32:$Y$32</c:f>
              <c:numCache>
                <c:formatCode>General</c:formatCode>
                <c:ptCount val="17"/>
                <c:pt idx="0">
                  <c:v>0.560251</c:v>
                </c:pt>
                <c:pt idx="1">
                  <c:v>0.524374</c:v>
                </c:pt>
                <c:pt idx="2">
                  <c:v>0.536784</c:v>
                </c:pt>
                <c:pt idx="3">
                  <c:v>0.576249</c:v>
                </c:pt>
                <c:pt idx="4">
                  <c:v>0.535757</c:v>
                </c:pt>
                <c:pt idx="5">
                  <c:v>0.504453</c:v>
                </c:pt>
                <c:pt idx="6">
                  <c:v>0.518146</c:v>
                </c:pt>
                <c:pt idx="7">
                  <c:v>0.535764</c:v>
                </c:pt>
                <c:pt idx="8">
                  <c:v>0.512276</c:v>
                </c:pt>
                <c:pt idx="9">
                  <c:v>0.513246</c:v>
                </c:pt>
                <c:pt idx="10">
                  <c:v>0.477754</c:v>
                </c:pt>
                <c:pt idx="11">
                  <c:v>0.475178</c:v>
                </c:pt>
                <c:pt idx="12">
                  <c:v>0.438763</c:v>
                </c:pt>
                <c:pt idx="13">
                  <c:v>0.515878</c:v>
                </c:pt>
                <c:pt idx="14">
                  <c:v>0.524232</c:v>
                </c:pt>
                <c:pt idx="15">
                  <c:v>0.402714</c:v>
                </c:pt>
                <c:pt idx="16">
                  <c:v>0.403182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918760720"/>
        <c:axId val="680032063"/>
      </c:lineChart>
      <c:catAx>
        <c:axId val="9187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0032063"/>
        <c:crosses val="autoZero"/>
        <c:auto val="1"/>
        <c:lblAlgn val="ctr"/>
        <c:lblOffset val="100"/>
        <c:noMultiLvlLbl val="0"/>
      </c:catAx>
      <c:valAx>
        <c:axId val="6800320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87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Date'!$F$31:$G$31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Date'!$Z$31:$AP$31</c:f>
              <c:numCache>
                <c:formatCode>General</c:formatCode>
                <c:ptCount val="17"/>
                <c:pt idx="0">
                  <c:v>0.509609</c:v>
                </c:pt>
                <c:pt idx="1">
                  <c:v>0.535701</c:v>
                </c:pt>
                <c:pt idx="2">
                  <c:v>0.589245</c:v>
                </c:pt>
                <c:pt idx="3">
                  <c:v>0.53507</c:v>
                </c:pt>
                <c:pt idx="4">
                  <c:v>0.49326</c:v>
                </c:pt>
                <c:pt idx="5">
                  <c:v>0.49378</c:v>
                </c:pt>
                <c:pt idx="6">
                  <c:v>0.604828</c:v>
                </c:pt>
                <c:pt idx="7">
                  <c:v>0.506187</c:v>
                </c:pt>
                <c:pt idx="8">
                  <c:v>0.47267</c:v>
                </c:pt>
                <c:pt idx="9">
                  <c:v>0.513713</c:v>
                </c:pt>
                <c:pt idx="10">
                  <c:v>0.605002</c:v>
                </c:pt>
                <c:pt idx="11">
                  <c:v>0.490941</c:v>
                </c:pt>
                <c:pt idx="12">
                  <c:v>0.440341</c:v>
                </c:pt>
                <c:pt idx="13">
                  <c:v>0.494233</c:v>
                </c:pt>
                <c:pt idx="14">
                  <c:v>0.617754</c:v>
                </c:pt>
                <c:pt idx="15">
                  <c:v>0.439821</c:v>
                </c:pt>
                <c:pt idx="16">
                  <c:v>0.361725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Date'!$F$32:$G$32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'WG-PRO-CTF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'WG-PRO-CTF Date'!$Z$32:$AP$32</c:f>
              <c:numCache>
                <c:formatCode>General</c:formatCode>
                <c:ptCount val="17"/>
                <c:pt idx="0">
                  <c:v>0.550123</c:v>
                </c:pt>
                <c:pt idx="1">
                  <c:v>0.527317</c:v>
                </c:pt>
                <c:pt idx="2">
                  <c:v>0.582094</c:v>
                </c:pt>
                <c:pt idx="3">
                  <c:v>0.560565</c:v>
                </c:pt>
                <c:pt idx="4">
                  <c:v>0.514855</c:v>
                </c:pt>
                <c:pt idx="5">
                  <c:v>0.5125</c:v>
                </c:pt>
                <c:pt idx="6">
                  <c:v>0.565757</c:v>
                </c:pt>
                <c:pt idx="7">
                  <c:v>0.513741</c:v>
                </c:pt>
                <c:pt idx="8">
                  <c:v>0.478499</c:v>
                </c:pt>
                <c:pt idx="9">
                  <c:v>0.459735</c:v>
                </c:pt>
                <c:pt idx="10">
                  <c:v>0.613358</c:v>
                </c:pt>
                <c:pt idx="11">
                  <c:v>0.503533</c:v>
                </c:pt>
                <c:pt idx="12">
                  <c:v>0.406534</c:v>
                </c:pt>
                <c:pt idx="13">
                  <c:v>0.47815</c:v>
                </c:pt>
                <c:pt idx="14">
                  <c:v>0.591877</c:v>
                </c:pt>
                <c:pt idx="15">
                  <c:v>0.420064</c:v>
                </c:pt>
                <c:pt idx="16">
                  <c:v>0.372807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31797074"/>
        <c:axId val="538702484"/>
      </c:lineChart>
      <c:catAx>
        <c:axId val="1317970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8702484"/>
        <c:crosses val="autoZero"/>
        <c:auto val="1"/>
        <c:lblAlgn val="ctr"/>
        <c:lblOffset val="100"/>
        <c:noMultiLvlLbl val="0"/>
      </c:catAx>
      <c:valAx>
        <c:axId val="5387024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17970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Date'!$F$33:$G$33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Date'!$I$33:$Y$33</c:f>
              <c:numCache>
                <c:formatCode>General</c:formatCode>
                <c:ptCount val="17"/>
                <c:pt idx="0">
                  <c:v>0.486153</c:v>
                </c:pt>
                <c:pt idx="1">
                  <c:v>0.531461</c:v>
                </c:pt>
                <c:pt idx="2">
                  <c:v>0.485826</c:v>
                </c:pt>
                <c:pt idx="3">
                  <c:v>0.483834</c:v>
                </c:pt>
                <c:pt idx="4">
                  <c:v>0.501423</c:v>
                </c:pt>
                <c:pt idx="5">
                  <c:v>0.51985</c:v>
                </c:pt>
                <c:pt idx="6">
                  <c:v>0.489237</c:v>
                </c:pt>
                <c:pt idx="7">
                  <c:v>0.49519</c:v>
                </c:pt>
                <c:pt idx="8">
                  <c:v>0.456237</c:v>
                </c:pt>
                <c:pt idx="9">
                  <c:v>0.541731</c:v>
                </c:pt>
                <c:pt idx="10">
                  <c:v>0.48292</c:v>
                </c:pt>
                <c:pt idx="11">
                  <c:v>0.455712</c:v>
                </c:pt>
                <c:pt idx="12">
                  <c:v>0.4267</c:v>
                </c:pt>
                <c:pt idx="13">
                  <c:v>0.518936</c:v>
                </c:pt>
                <c:pt idx="14">
                  <c:v>0.469453</c:v>
                </c:pt>
                <c:pt idx="15">
                  <c:v>0.448494</c:v>
                </c:pt>
                <c:pt idx="16">
                  <c:v>0.322276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Date'!$F$34:$G$34</c:f>
              <c:strCache>
                <c:ptCount val="1"/>
                <c:pt idx="0">
                  <c:v>1cycle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Date'!$I$34:$Y$34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'WG-PRO-CTF Date'!$F$35:$G$35</c:f>
              <c:strCache>
                <c:ptCount val="1"/>
                <c:pt idx="0">
                  <c:v>3cycle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Date'!$I$35:$Y$35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'WG-PRO-CTF Date'!$F$36:$G$36</c:f>
              <c:strCache>
                <c:ptCount val="1"/>
                <c:pt idx="0">
                  <c:v>6cycle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Date'!$I$36:$Y$36</c:f>
              <c:numCache>
                <c:formatCode>General</c:formatCode>
                <c:ptCount val="17"/>
                <c:pt idx="0">
                  <c:v>0.451694</c:v>
                </c:pt>
                <c:pt idx="1">
                  <c:v>0.497795</c:v>
                </c:pt>
                <c:pt idx="2">
                  <c:v>0.461578</c:v>
                </c:pt>
                <c:pt idx="3">
                  <c:v>0.474718</c:v>
                </c:pt>
                <c:pt idx="4">
                  <c:v>0.477725</c:v>
                </c:pt>
                <c:pt idx="5">
                  <c:v>0.54324</c:v>
                </c:pt>
                <c:pt idx="6">
                  <c:v>0.466522</c:v>
                </c:pt>
                <c:pt idx="7">
                  <c:v>0.435542</c:v>
                </c:pt>
                <c:pt idx="8">
                  <c:v>0.433099</c:v>
                </c:pt>
                <c:pt idx="9">
                  <c:v>0.54033</c:v>
                </c:pt>
                <c:pt idx="10">
                  <c:v>0.424657</c:v>
                </c:pt>
                <c:pt idx="11">
                  <c:v>0.395272</c:v>
                </c:pt>
                <c:pt idx="12">
                  <c:v>0.427934</c:v>
                </c:pt>
                <c:pt idx="13">
                  <c:v>0.523466</c:v>
                </c:pt>
                <c:pt idx="14">
                  <c:v>0.513803</c:v>
                </c:pt>
                <c:pt idx="15">
                  <c:v>0.395065</c:v>
                </c:pt>
                <c:pt idx="16">
                  <c:v>0.371948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5449963"/>
        <c:axId val="889386367"/>
      </c:lineChart>
      <c:catAx>
        <c:axId val="754499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89386367"/>
        <c:crosses val="autoZero"/>
        <c:auto val="1"/>
        <c:lblAlgn val="ctr"/>
        <c:lblOffset val="100"/>
        <c:noMultiLvlLbl val="0"/>
      </c:catAx>
      <c:valAx>
        <c:axId val="88938636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54499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Date'!$F$37:$G$37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Date'!$I$37:$Y$37</c:f>
              <c:numCache>
                <c:formatCode>General</c:formatCode>
                <c:ptCount val="17"/>
                <c:pt idx="0">
                  <c:v>0.509724</c:v>
                </c:pt>
                <c:pt idx="1">
                  <c:v>0.502308</c:v>
                </c:pt>
                <c:pt idx="2">
                  <c:v>0.551048</c:v>
                </c:pt>
                <c:pt idx="3">
                  <c:v>0.531474</c:v>
                </c:pt>
                <c:pt idx="4">
                  <c:v>0.457722</c:v>
                </c:pt>
                <c:pt idx="5">
                  <c:v>0.484476</c:v>
                </c:pt>
                <c:pt idx="6">
                  <c:v>0.554797</c:v>
                </c:pt>
                <c:pt idx="7">
                  <c:v>0.559306</c:v>
                </c:pt>
                <c:pt idx="8">
                  <c:v>0.45811</c:v>
                </c:pt>
                <c:pt idx="9">
                  <c:v>0.412138</c:v>
                </c:pt>
                <c:pt idx="10">
                  <c:v>0.535232</c:v>
                </c:pt>
                <c:pt idx="11">
                  <c:v>0.448893</c:v>
                </c:pt>
                <c:pt idx="12">
                  <c:v>0.405424</c:v>
                </c:pt>
                <c:pt idx="13">
                  <c:v>0.442084</c:v>
                </c:pt>
                <c:pt idx="14">
                  <c:v>0.481002</c:v>
                </c:pt>
                <c:pt idx="15">
                  <c:v>0.417875</c:v>
                </c:pt>
                <c:pt idx="16">
                  <c:v>0.347085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Date'!$F$38:$G$38</c:f>
              <c:strCache>
                <c:ptCount val="1"/>
                <c:pt idx="0">
                  <c:v>1cycle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Date'!$I$38:$Y$38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'WG-PRO-CTF Date'!$F$39:$G$39</c:f>
              <c:strCache>
                <c:ptCount val="1"/>
                <c:pt idx="0">
                  <c:v>3cycle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Date'!$I$39:$Y$39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'WG-PRO-CTF Date'!$F$40:$G$40</c:f>
              <c:strCache>
                <c:ptCount val="1"/>
                <c:pt idx="0">
                  <c:v>6cycle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Date'!$I$40:$Y$40</c:f>
              <c:numCache>
                <c:formatCode>General</c:formatCode>
                <c:ptCount val="17"/>
                <c:pt idx="0">
                  <c:v>0.470228</c:v>
                </c:pt>
                <c:pt idx="1">
                  <c:v>0.459294</c:v>
                </c:pt>
                <c:pt idx="2">
                  <c:v>0.520266</c:v>
                </c:pt>
                <c:pt idx="3">
                  <c:v>0.515465</c:v>
                </c:pt>
                <c:pt idx="4">
                  <c:v>0.455615</c:v>
                </c:pt>
                <c:pt idx="5">
                  <c:v>0.489622</c:v>
                </c:pt>
                <c:pt idx="6">
                  <c:v>0.539249</c:v>
                </c:pt>
                <c:pt idx="7">
                  <c:v>0.509209</c:v>
                </c:pt>
                <c:pt idx="8">
                  <c:v>0.431109</c:v>
                </c:pt>
                <c:pt idx="9">
                  <c:v>0.421477</c:v>
                </c:pt>
                <c:pt idx="10">
                  <c:v>0.461445</c:v>
                </c:pt>
                <c:pt idx="11">
                  <c:v>0.434468</c:v>
                </c:pt>
                <c:pt idx="12">
                  <c:v>0.413611</c:v>
                </c:pt>
                <c:pt idx="13">
                  <c:v>0.41335</c:v>
                </c:pt>
                <c:pt idx="14">
                  <c:v>0.514649</c:v>
                </c:pt>
                <c:pt idx="15">
                  <c:v>0.374355</c:v>
                </c:pt>
                <c:pt idx="16">
                  <c:v>0.363208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69774926"/>
        <c:axId val="52364889"/>
      </c:lineChart>
      <c:catAx>
        <c:axId val="1697749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364889"/>
        <c:crosses val="autoZero"/>
        <c:auto val="1"/>
        <c:lblAlgn val="ctr"/>
        <c:lblOffset val="100"/>
        <c:noMultiLvlLbl val="0"/>
      </c:catAx>
      <c:valAx>
        <c:axId val="5236488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97749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Date'!$F$41:$G$41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Date'!$I$41:$Y$41</c:f>
              <c:numCache>
                <c:formatCode>General</c:formatCode>
                <c:ptCount val="17"/>
                <c:pt idx="0">
                  <c:v>0.565344</c:v>
                </c:pt>
                <c:pt idx="1">
                  <c:v>0.52103</c:v>
                </c:pt>
                <c:pt idx="2">
                  <c:v>0.516635</c:v>
                </c:pt>
                <c:pt idx="3">
                  <c:v>0.567215</c:v>
                </c:pt>
                <c:pt idx="4">
                  <c:v>0.529699</c:v>
                </c:pt>
                <c:pt idx="5">
                  <c:v>0.486366</c:v>
                </c:pt>
                <c:pt idx="6">
                  <c:v>0.522088</c:v>
                </c:pt>
                <c:pt idx="7">
                  <c:v>0.567177</c:v>
                </c:pt>
                <c:pt idx="8">
                  <c:v>0.522205</c:v>
                </c:pt>
                <c:pt idx="9">
                  <c:v>0.492862</c:v>
                </c:pt>
                <c:pt idx="10">
                  <c:v>0.51627</c:v>
                </c:pt>
                <c:pt idx="11">
                  <c:v>0.534809</c:v>
                </c:pt>
                <c:pt idx="12">
                  <c:v>0.441601</c:v>
                </c:pt>
                <c:pt idx="13">
                  <c:v>0.450914</c:v>
                </c:pt>
                <c:pt idx="14">
                  <c:v>0.465251</c:v>
                </c:pt>
                <c:pt idx="15">
                  <c:v>0.516852</c:v>
                </c:pt>
                <c:pt idx="16">
                  <c:v>0.308803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Date'!$F$42:$G$42</c:f>
              <c:strCache>
                <c:ptCount val="1"/>
                <c:pt idx="0">
                  <c:v>1cycle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Date'!$I$42:$Y$42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'WG-PRO-CTF Date'!$F$43:$G$43</c:f>
              <c:strCache>
                <c:ptCount val="1"/>
                <c:pt idx="0">
                  <c:v>3cycle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Date'!$I$43:$Y$43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'WG-PRO-CTF Date'!$F$44:$G$44</c:f>
              <c:strCache>
                <c:ptCount val="1"/>
                <c:pt idx="0">
                  <c:v>6cycle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Date'!$I$44:$Y$44</c:f>
              <c:numCache>
                <c:formatCode>General</c:formatCode>
                <c:ptCount val="17"/>
                <c:pt idx="0">
                  <c:v>0.534361</c:v>
                </c:pt>
                <c:pt idx="1">
                  <c:v>0.510854</c:v>
                </c:pt>
                <c:pt idx="2">
                  <c:v>0.486763</c:v>
                </c:pt>
                <c:pt idx="3">
                  <c:v>0.551349</c:v>
                </c:pt>
                <c:pt idx="4">
                  <c:v>0.542723</c:v>
                </c:pt>
                <c:pt idx="5">
                  <c:v>0.533949</c:v>
                </c:pt>
                <c:pt idx="6">
                  <c:v>0.511418</c:v>
                </c:pt>
                <c:pt idx="7">
                  <c:v>0.517097</c:v>
                </c:pt>
                <c:pt idx="8">
                  <c:v>0.510567</c:v>
                </c:pt>
                <c:pt idx="9">
                  <c:v>0.505831</c:v>
                </c:pt>
                <c:pt idx="10">
                  <c:v>0.4643</c:v>
                </c:pt>
                <c:pt idx="11">
                  <c:v>0.482504</c:v>
                </c:pt>
                <c:pt idx="12">
                  <c:v>0.438985</c:v>
                </c:pt>
                <c:pt idx="13">
                  <c:v>0.490231</c:v>
                </c:pt>
                <c:pt idx="14">
                  <c:v>0.493019</c:v>
                </c:pt>
                <c:pt idx="15">
                  <c:v>0.466383</c:v>
                </c:pt>
                <c:pt idx="16">
                  <c:v>0.305752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78328247"/>
        <c:axId val="929458473"/>
      </c:lineChart>
      <c:catAx>
        <c:axId val="178328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29458473"/>
        <c:crosses val="autoZero"/>
        <c:auto val="1"/>
        <c:lblAlgn val="ctr"/>
        <c:lblOffset val="100"/>
        <c:noMultiLvlLbl val="0"/>
      </c:catAx>
      <c:valAx>
        <c:axId val="92945847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7832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Date'!$F$33:$G$33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Date'!$Z$33:$AP$33</c:f>
              <c:numCache>
                <c:formatCode>General</c:formatCode>
                <c:ptCount val="17"/>
                <c:pt idx="0">
                  <c:v>0.586191</c:v>
                </c:pt>
                <c:pt idx="1">
                  <c:v>0.607338</c:v>
                </c:pt>
                <c:pt idx="2">
                  <c:v>0.628805</c:v>
                </c:pt>
                <c:pt idx="3">
                  <c:v>0.596339</c:v>
                </c:pt>
                <c:pt idx="4">
                  <c:v>0.53434</c:v>
                </c:pt>
                <c:pt idx="5">
                  <c:v>0.604527</c:v>
                </c:pt>
                <c:pt idx="6">
                  <c:v>0.622046</c:v>
                </c:pt>
                <c:pt idx="7">
                  <c:v>0.589202</c:v>
                </c:pt>
                <c:pt idx="8">
                  <c:v>0.530557</c:v>
                </c:pt>
                <c:pt idx="9">
                  <c:v>0.612308</c:v>
                </c:pt>
                <c:pt idx="10">
                  <c:v>0.57439</c:v>
                </c:pt>
                <c:pt idx="11">
                  <c:v>0.519409</c:v>
                </c:pt>
                <c:pt idx="12">
                  <c:v>0.478734</c:v>
                </c:pt>
                <c:pt idx="13">
                  <c:v>0.559556</c:v>
                </c:pt>
                <c:pt idx="14">
                  <c:v>0.593116</c:v>
                </c:pt>
                <c:pt idx="15">
                  <c:v>0.520619</c:v>
                </c:pt>
                <c:pt idx="16">
                  <c:v>0.39728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Date'!$F$34:$G$34</c:f>
              <c:strCache>
                <c:ptCount val="1"/>
                <c:pt idx="0">
                  <c:v>1cycle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Date'!$Z$34:$AP$34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'WG-PRO-CTF Date'!$F$35:$G$35</c:f>
              <c:strCache>
                <c:ptCount val="1"/>
                <c:pt idx="0">
                  <c:v>3cycle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Date'!$Z$35:$AP$35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'WG-PRO-CTF Date'!$F$36:$G$36</c:f>
              <c:strCache>
                <c:ptCount val="1"/>
                <c:pt idx="0">
                  <c:v>6cycle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Date'!$Z$36:$AP$36</c:f>
              <c:numCache>
                <c:formatCode>General</c:formatCode>
                <c:ptCount val="17"/>
                <c:pt idx="0">
                  <c:v>0.594469</c:v>
                </c:pt>
                <c:pt idx="1">
                  <c:v>0.591264</c:v>
                </c:pt>
                <c:pt idx="2">
                  <c:v>0.616294</c:v>
                </c:pt>
                <c:pt idx="3">
                  <c:v>0.595909</c:v>
                </c:pt>
                <c:pt idx="4">
                  <c:v>0.533967</c:v>
                </c:pt>
                <c:pt idx="5">
                  <c:v>0.612722</c:v>
                </c:pt>
                <c:pt idx="6">
                  <c:v>0.613639</c:v>
                </c:pt>
                <c:pt idx="7">
                  <c:v>0.565528</c:v>
                </c:pt>
                <c:pt idx="8">
                  <c:v>0.517398</c:v>
                </c:pt>
                <c:pt idx="9">
                  <c:v>0.625775</c:v>
                </c:pt>
                <c:pt idx="10">
                  <c:v>0.60321</c:v>
                </c:pt>
                <c:pt idx="11">
                  <c:v>0.521724</c:v>
                </c:pt>
                <c:pt idx="12">
                  <c:v>0.50975</c:v>
                </c:pt>
                <c:pt idx="13">
                  <c:v>0.580431</c:v>
                </c:pt>
                <c:pt idx="14">
                  <c:v>0.593606</c:v>
                </c:pt>
                <c:pt idx="15">
                  <c:v>0.494207</c:v>
                </c:pt>
                <c:pt idx="16">
                  <c:v>0.428622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08467301"/>
        <c:axId val="862500096"/>
      </c:lineChart>
      <c:catAx>
        <c:axId val="4084673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2500096"/>
        <c:crosses val="autoZero"/>
        <c:auto val="1"/>
        <c:lblAlgn val="ctr"/>
        <c:lblOffset val="100"/>
        <c:noMultiLvlLbl val="0"/>
      </c:catAx>
      <c:valAx>
        <c:axId val="8625000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084673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Date'!$F$37:$G$37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Date'!$Z$37:$AP$37</c:f>
              <c:numCache>
                <c:formatCode>General</c:formatCode>
                <c:ptCount val="17"/>
                <c:pt idx="0">
                  <c:v>0.549276</c:v>
                </c:pt>
                <c:pt idx="1">
                  <c:v>0.53233</c:v>
                </c:pt>
                <c:pt idx="2">
                  <c:v>0.590922</c:v>
                </c:pt>
                <c:pt idx="3">
                  <c:v>0.571396</c:v>
                </c:pt>
                <c:pt idx="4">
                  <c:v>0.477917</c:v>
                </c:pt>
                <c:pt idx="5">
                  <c:v>0.516116</c:v>
                </c:pt>
                <c:pt idx="6">
                  <c:v>0.607314</c:v>
                </c:pt>
                <c:pt idx="7">
                  <c:v>0.577642</c:v>
                </c:pt>
                <c:pt idx="8">
                  <c:v>0.484019</c:v>
                </c:pt>
                <c:pt idx="9">
                  <c:v>0.504996</c:v>
                </c:pt>
                <c:pt idx="10">
                  <c:v>0.575618</c:v>
                </c:pt>
                <c:pt idx="11">
                  <c:v>0.524754</c:v>
                </c:pt>
                <c:pt idx="12">
                  <c:v>0.401727</c:v>
                </c:pt>
                <c:pt idx="13">
                  <c:v>0.479041</c:v>
                </c:pt>
                <c:pt idx="14">
                  <c:v>0.619185</c:v>
                </c:pt>
                <c:pt idx="15">
                  <c:v>0.458768</c:v>
                </c:pt>
                <c:pt idx="16">
                  <c:v>0.430811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Date'!$F$38:$G$38</c:f>
              <c:strCache>
                <c:ptCount val="1"/>
                <c:pt idx="0">
                  <c:v>1cycle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Date'!$Z$38:$AP$38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'WG-PRO-CTF Date'!$F$39:$G$39</c:f>
              <c:strCache>
                <c:ptCount val="1"/>
                <c:pt idx="0">
                  <c:v>3cycle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Date'!$Z$39:$AP$39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'WG-PRO-CTF Date'!$F$40:$G$40</c:f>
              <c:strCache>
                <c:ptCount val="1"/>
                <c:pt idx="0">
                  <c:v>6cycle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Date'!$Z$40:$AP$40</c:f>
              <c:numCache>
                <c:formatCode>General</c:formatCode>
                <c:ptCount val="17"/>
                <c:pt idx="0">
                  <c:v>0.496221</c:v>
                </c:pt>
                <c:pt idx="1">
                  <c:v>0.464375</c:v>
                </c:pt>
                <c:pt idx="2">
                  <c:v>0.561669</c:v>
                </c:pt>
                <c:pt idx="3">
                  <c:v>0.536428</c:v>
                </c:pt>
                <c:pt idx="4">
                  <c:v>0.461039</c:v>
                </c:pt>
                <c:pt idx="5">
                  <c:v>0.463769</c:v>
                </c:pt>
                <c:pt idx="6">
                  <c:v>0.541215</c:v>
                </c:pt>
                <c:pt idx="7">
                  <c:v>0.520071</c:v>
                </c:pt>
                <c:pt idx="8">
                  <c:v>0.436514</c:v>
                </c:pt>
                <c:pt idx="9">
                  <c:v>0.470755</c:v>
                </c:pt>
                <c:pt idx="10">
                  <c:v>0.586819</c:v>
                </c:pt>
                <c:pt idx="11">
                  <c:v>0.485478</c:v>
                </c:pt>
                <c:pt idx="12">
                  <c:v>0.373721</c:v>
                </c:pt>
                <c:pt idx="13">
                  <c:v>0.407069</c:v>
                </c:pt>
                <c:pt idx="14">
                  <c:v>0.592301</c:v>
                </c:pt>
                <c:pt idx="15">
                  <c:v>0.399226</c:v>
                </c:pt>
                <c:pt idx="16">
                  <c:v>0.41425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653150410"/>
        <c:axId val="687104556"/>
      </c:lineChart>
      <c:catAx>
        <c:axId val="6531504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7104556"/>
        <c:crosses val="autoZero"/>
        <c:auto val="1"/>
        <c:lblAlgn val="ctr"/>
        <c:lblOffset val="100"/>
        <c:noMultiLvlLbl val="0"/>
      </c:catAx>
      <c:valAx>
        <c:axId val="6871045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31504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'WG-PRO-CTF Date'!$F$41</c:f>
              <c:strCache>
                <c:ptCount val="1"/>
                <c:pt idx="0">
                  <c:v>T0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Date'!$Z$41:$AP$41</c:f>
              <c:numCache>
                <c:formatCode>General</c:formatCode>
                <c:ptCount val="17"/>
                <c:pt idx="0">
                  <c:v>0.626406</c:v>
                </c:pt>
                <c:pt idx="1">
                  <c:v>0.606053</c:v>
                </c:pt>
                <c:pt idx="2">
                  <c:v>0.61869</c:v>
                </c:pt>
                <c:pt idx="3">
                  <c:v>0.637134</c:v>
                </c:pt>
                <c:pt idx="4">
                  <c:v>0.621957</c:v>
                </c:pt>
                <c:pt idx="5">
                  <c:v>0.579342</c:v>
                </c:pt>
                <c:pt idx="6">
                  <c:v>0.647265</c:v>
                </c:pt>
                <c:pt idx="7">
                  <c:v>0.619113</c:v>
                </c:pt>
                <c:pt idx="8">
                  <c:v>0.603676</c:v>
                </c:pt>
                <c:pt idx="9">
                  <c:v>0.609814</c:v>
                </c:pt>
                <c:pt idx="10">
                  <c:v>0.608786</c:v>
                </c:pt>
                <c:pt idx="11">
                  <c:v>0.58257</c:v>
                </c:pt>
                <c:pt idx="12">
                  <c:v>0.546262</c:v>
                </c:pt>
                <c:pt idx="13">
                  <c:v>0.595423</c:v>
                </c:pt>
                <c:pt idx="14">
                  <c:v>0.636192</c:v>
                </c:pt>
                <c:pt idx="15">
                  <c:v>0.547862</c:v>
                </c:pt>
                <c:pt idx="16">
                  <c:v>0.493639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'WG-PRO-CTF Date'!$F$42</c:f>
              <c:strCache>
                <c:ptCount val="1"/>
                <c:pt idx="0">
                  <c:v>1cycle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Date'!$Z$42:$AP$42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'WG-PRO-CTF Date'!$F$43</c:f>
              <c:strCache>
                <c:ptCount val="1"/>
                <c:pt idx="0">
                  <c:v>3cycle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Date'!$Z$43:$AP$43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'WG-PRO-CTF Date'!$F$44</c:f>
              <c:strCache>
                <c:ptCount val="1"/>
                <c:pt idx="0">
                  <c:v>6cycle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'WG-PRO-CTF Date'!$Z$44:$AP$44</c:f>
              <c:numCache>
                <c:formatCode>General</c:formatCode>
                <c:ptCount val="17"/>
                <c:pt idx="0">
                  <c:v>0.607134</c:v>
                </c:pt>
                <c:pt idx="1">
                  <c:v>0.570645</c:v>
                </c:pt>
                <c:pt idx="2">
                  <c:v>0.589908</c:v>
                </c:pt>
                <c:pt idx="3">
                  <c:v>0.625874</c:v>
                </c:pt>
                <c:pt idx="4">
                  <c:v>0.609208</c:v>
                </c:pt>
                <c:pt idx="5">
                  <c:v>0.597504</c:v>
                </c:pt>
                <c:pt idx="6">
                  <c:v>0.608465</c:v>
                </c:pt>
                <c:pt idx="7">
                  <c:v>0.585762</c:v>
                </c:pt>
                <c:pt idx="8">
                  <c:v>0.581518</c:v>
                </c:pt>
                <c:pt idx="9">
                  <c:v>0.597368</c:v>
                </c:pt>
                <c:pt idx="10">
                  <c:v>0.633493</c:v>
                </c:pt>
                <c:pt idx="11">
                  <c:v>0.574219</c:v>
                </c:pt>
                <c:pt idx="12">
                  <c:v>0.525247</c:v>
                </c:pt>
                <c:pt idx="13">
                  <c:v>0.589482</c:v>
                </c:pt>
                <c:pt idx="14">
                  <c:v>0.612025</c:v>
                </c:pt>
                <c:pt idx="15">
                  <c:v>0.509906</c:v>
                </c:pt>
                <c:pt idx="16">
                  <c:v>0.47213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67244433"/>
        <c:axId val="243341933"/>
      </c:lineChart>
      <c:catAx>
        <c:axId val="867244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3341933"/>
        <c:crosses val="autoZero"/>
        <c:auto val="1"/>
        <c:lblAlgn val="ctr"/>
        <c:lblOffset val="100"/>
        <c:noMultiLvlLbl val="0"/>
      </c:catAx>
      <c:valAx>
        <c:axId val="2433419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7244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Date'!$F$3:$H$3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Date'!$I$3:$Y$3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Date'!$F$4:$H$4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Date'!$I$4:$Y$4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Date'!$F$5:$H$5</c:f>
              <c:strCache>
                <c:ptCount val="1"/>
                <c:pt idx="0">
                  <c:v>T146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Date'!$I$5:$Y$5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Date'!$F$6:$H$6</c:f>
              <c:strCache>
                <c:ptCount val="1"/>
                <c:pt idx="0">
                  <c:v>T280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Date'!$I$6:$Y$6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527718146"/>
        <c:axId val="353454810"/>
      </c:lineChart>
      <c:catAx>
        <c:axId val="527718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53454810"/>
        <c:crosses val="autoZero"/>
        <c:auto val="1"/>
        <c:lblAlgn val="ctr"/>
        <c:lblOffset val="100"/>
        <c:noMultiLvlLbl val="0"/>
      </c:catAx>
      <c:valAx>
        <c:axId val="35345481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77181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Date'!$F$3:$H$3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Date'!$Z$3:$AP$3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Date'!$F$4:$H$4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Date'!$Z$4:$AP$4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Date'!$F$5:$H$5</c:f>
              <c:strCache>
                <c:ptCount val="1"/>
                <c:pt idx="0">
                  <c:v>T146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Date'!$Z$5:$AP$5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Date'!$F$6:$H$6</c:f>
              <c:strCache>
                <c:ptCount val="1"/>
                <c:pt idx="0">
                  <c:v>T280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Date'!$Z$6:$AP$6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96543433"/>
        <c:axId val="873696032"/>
      </c:lineChart>
      <c:catAx>
        <c:axId val="796543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73696032"/>
        <c:crosses val="autoZero"/>
        <c:auto val="1"/>
        <c:lblAlgn val="ctr"/>
        <c:lblOffset val="100"/>
        <c:noMultiLvlLbl val="0"/>
      </c:catAx>
      <c:valAx>
        <c:axId val="873696032"/>
        <c:scaling>
          <c:orientation val="minMax"/>
          <c:max val="0.8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96543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Date'!$F$7:$H$7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Date'!$I$7:$Y$7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Date'!$F$8:$H$8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Date'!$I$8:$Y$8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Date'!$F$9:$H$9</c:f>
              <c:strCache>
                <c:ptCount val="1"/>
                <c:pt idx="0">
                  <c:v>T146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Date'!$I$9:$Y$9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Date'!$F$10:$H$10</c:f>
              <c:strCache>
                <c:ptCount val="1"/>
                <c:pt idx="0">
                  <c:v>T280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Date'!$I$10:$Y$10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48203368"/>
        <c:axId val="699370052"/>
      </c:lineChart>
      <c:catAx>
        <c:axId val="24820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99370052"/>
        <c:crosses val="autoZero"/>
        <c:auto val="1"/>
        <c:lblAlgn val="ctr"/>
        <c:lblOffset val="100"/>
        <c:noMultiLvlLbl val="0"/>
      </c:catAx>
      <c:valAx>
        <c:axId val="699370052"/>
        <c:scaling>
          <c:orientation val="minMax"/>
          <c:max val="0.8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820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Date'!$F$7:$H$7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Date'!$Z$7:$AP$7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Date'!$F$8:$H$8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Date'!$Z$8:$AP$8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Date'!$F$9:$H$9</c:f>
              <c:strCache>
                <c:ptCount val="1"/>
                <c:pt idx="0">
                  <c:v>T146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Date'!$Z$9:$AP$9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Date'!$F$10:$H$10</c:f>
              <c:strCache>
                <c:ptCount val="1"/>
                <c:pt idx="0">
                  <c:v>T280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Date'!$Z$10:$AP$10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31703156"/>
        <c:axId val="52826362"/>
      </c:lineChart>
      <c:catAx>
        <c:axId val="2317031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826362"/>
        <c:crosses val="autoZero"/>
        <c:auto val="1"/>
        <c:lblAlgn val="ctr"/>
        <c:lblOffset val="100"/>
        <c:noMultiLvlLbl val="0"/>
      </c:catAx>
      <c:valAx>
        <c:axId val="52826362"/>
        <c:scaling>
          <c:orientation val="minMax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31703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Date'!$F$11:$H$11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Date'!$I$11:$Y$11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Date'!$F$12:$H$12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Date'!$I$12:$Y$12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Date'!$F$13:$H$13</c:f>
              <c:strCache>
                <c:ptCount val="1"/>
                <c:pt idx="0">
                  <c:v>T146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Date'!$I$13:$Y$13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Date'!$F$14:$H$14</c:f>
              <c:strCache>
                <c:ptCount val="1"/>
                <c:pt idx="0">
                  <c:v>T280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Date'!$I$14:$Y$14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04320183"/>
        <c:axId val="624904864"/>
      </c:lineChart>
      <c:catAx>
        <c:axId val="40432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24904864"/>
        <c:crosses val="autoZero"/>
        <c:auto val="1"/>
        <c:lblAlgn val="ctr"/>
        <c:lblOffset val="100"/>
        <c:noMultiLvlLbl val="0"/>
      </c:catAx>
      <c:valAx>
        <c:axId val="624904864"/>
        <c:scaling>
          <c:orientation val="minMax"/>
          <c:max val="0.9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0432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Date'!$F$11:$H$11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Date'!$Z$11:$AP$11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Date'!$F$12:$H$12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Date'!$Z$12:$AP$12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Date'!$F$13:$H$13</c:f>
              <c:strCache>
                <c:ptCount val="1"/>
                <c:pt idx="0">
                  <c:v>T146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Date'!$Z$13:$AP$13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Date'!$F$14:$H$14</c:f>
              <c:strCache>
                <c:ptCount val="1"/>
                <c:pt idx="0">
                  <c:v>T280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Date'!$Z$14:$AP$14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342104627"/>
        <c:axId val="883539008"/>
      </c:lineChart>
      <c:catAx>
        <c:axId val="3421046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83539008"/>
        <c:crosses val="autoZero"/>
        <c:auto val="1"/>
        <c:lblAlgn val="ctr"/>
        <c:lblOffset val="100"/>
        <c:noMultiLvlLbl val="0"/>
      </c:catAx>
      <c:valAx>
        <c:axId val="883539008"/>
        <c:scaling>
          <c:orientation val="minMax"/>
          <c:max val="0.9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421046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Date'!$F$15:$G$15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Date'!$I$15:$Y$15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Date'!$F$16:$G$16</c:f>
              <c:strCache>
                <c:ptCount val="1"/>
                <c:pt idx="0">
                  <c:v>35cycle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Date'!$I$16:$Y$16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Date'!$F$17:$G$17</c:f>
              <c:strCache>
                <c:ptCount val="1"/>
                <c:pt idx="0">
                  <c:v>70cycle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Date'!$I$17:$Y$17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Date'!$F$18:$G$18</c:f>
              <c:strCache>
                <c:ptCount val="1"/>
                <c:pt idx="0">
                  <c:v>100cycle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Date'!$I$18:$Y$18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23419240"/>
        <c:axId val="536580660"/>
      </c:lineChart>
      <c:catAx>
        <c:axId val="82341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6580660"/>
        <c:crosses val="autoZero"/>
        <c:auto val="1"/>
        <c:lblAlgn val="ctr"/>
        <c:lblOffset val="100"/>
        <c:noMultiLvlLbl val="0"/>
      </c:catAx>
      <c:valAx>
        <c:axId val="5365806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2341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Date'!$F$15:$G$15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Date'!$Z$15:$AP$15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Date'!$F$16:$G$16</c:f>
              <c:strCache>
                <c:ptCount val="1"/>
                <c:pt idx="0">
                  <c:v>35cycle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Date'!$Z$16:$AP$16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Date'!$F$17:$G$17</c:f>
              <c:strCache>
                <c:ptCount val="1"/>
                <c:pt idx="0">
                  <c:v>70cycle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Date'!$Z$17:$AP$17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Date'!$F$18:$G$18</c:f>
              <c:strCache>
                <c:ptCount val="1"/>
                <c:pt idx="0">
                  <c:v>100cycle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Date'!$Z$18:$AP$18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21431321"/>
        <c:axId val="578780133"/>
      </c:lineChart>
      <c:catAx>
        <c:axId val="7214313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78780133"/>
        <c:crosses val="autoZero"/>
        <c:auto val="1"/>
        <c:lblAlgn val="ctr"/>
        <c:lblOffset val="100"/>
        <c:noMultiLvlLbl val="0"/>
      </c:catAx>
      <c:valAx>
        <c:axId val="5787801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214313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Date'!$F$19:$G$19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Date'!$I$19:$Y$19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Date'!$F$20:$G$20</c:f>
              <c:strCache>
                <c:ptCount val="1"/>
                <c:pt idx="0">
                  <c:v>35cycle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Date'!$I$20:$Y$20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Date'!$F$21:$G$21</c:f>
              <c:strCache>
                <c:ptCount val="1"/>
                <c:pt idx="0">
                  <c:v>70cycle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Date'!$I$21:$Y$21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Date'!$F$22:$G$22</c:f>
              <c:strCache>
                <c:ptCount val="1"/>
                <c:pt idx="0">
                  <c:v>100cycle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Date'!$I$22:$Y$22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15929305"/>
        <c:axId val="913054881"/>
      </c:lineChart>
      <c:catAx>
        <c:axId val="415929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3054881"/>
        <c:crosses val="autoZero"/>
        <c:auto val="1"/>
        <c:lblAlgn val="ctr"/>
        <c:lblOffset val="100"/>
        <c:noMultiLvlLbl val="0"/>
      </c:catAx>
      <c:valAx>
        <c:axId val="91305488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15929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Date'!$F$19:$G$19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Date'!$Z$19:$AP$19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Date'!$F$20:$G$20</c:f>
              <c:strCache>
                <c:ptCount val="1"/>
                <c:pt idx="0">
                  <c:v>35cycle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Date'!$Z$20:$AP$20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Date'!$F$21:$G$21</c:f>
              <c:strCache>
                <c:ptCount val="1"/>
                <c:pt idx="0">
                  <c:v>70cycle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Date'!$Z$21:$AP$21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Date'!$F$22:$G$22</c:f>
              <c:strCache>
                <c:ptCount val="1"/>
                <c:pt idx="0">
                  <c:v>100cycle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Date'!$Z$22:$AP$22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663804205"/>
        <c:axId val="134577840"/>
      </c:lineChart>
      <c:catAx>
        <c:axId val="663804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4577840"/>
        <c:crosses val="autoZero"/>
        <c:auto val="1"/>
        <c:lblAlgn val="ctr"/>
        <c:lblOffset val="100"/>
        <c:noMultiLvlLbl val="0"/>
      </c:catAx>
      <c:valAx>
        <c:axId val="1345778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3804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Date'!$F$23:$G$23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Date'!$Z$23:$AP$23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Date'!$F$24:$G$24</c:f>
              <c:strCache>
                <c:ptCount val="1"/>
                <c:pt idx="0">
                  <c:v>35cycle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Date'!$Z$24:$AP$24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Date'!$F$25:$G$25</c:f>
              <c:strCache>
                <c:ptCount val="1"/>
                <c:pt idx="0">
                  <c:v>70cycle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Date'!$Z$25:$AP$25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Date'!$F$26:$G$26</c:f>
              <c:strCache>
                <c:ptCount val="1"/>
                <c:pt idx="0">
                  <c:v>100cycle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Date'!$Z$26:$AP$26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27476260"/>
        <c:axId val="929254159"/>
      </c:lineChart>
      <c:catAx>
        <c:axId val="1274762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29254159"/>
        <c:crosses val="autoZero"/>
        <c:auto val="1"/>
        <c:lblAlgn val="ctr"/>
        <c:lblOffset val="100"/>
        <c:noMultiLvlLbl val="0"/>
      </c:catAx>
      <c:valAx>
        <c:axId val="9292541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27476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Date'!$F$23:$G$23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Date'!$I$23:$Y$23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Date'!$F$24:$G$24</c:f>
              <c:strCache>
                <c:ptCount val="1"/>
                <c:pt idx="0">
                  <c:v>35cycle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Date'!$I$24:$Y$24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Date'!$F$25:$G$25</c:f>
              <c:strCache>
                <c:ptCount val="1"/>
                <c:pt idx="0">
                  <c:v>70cycle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Date'!$I$25:$Y$25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Date'!$F$26:$G$26</c:f>
              <c:strCache>
                <c:ptCount val="1"/>
                <c:pt idx="0">
                  <c:v>100cycle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Date'!$I$26:$Y$26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56341830"/>
        <c:axId val="904071405"/>
      </c:lineChart>
      <c:catAx>
        <c:axId val="856341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04071405"/>
        <c:crosses val="autoZero"/>
        <c:auto val="1"/>
        <c:lblAlgn val="ctr"/>
        <c:lblOffset val="100"/>
        <c:noMultiLvlLbl val="0"/>
      </c:catAx>
      <c:valAx>
        <c:axId val="90407140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56341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Date'!$F$27:$G$27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Date'!$I$27:$Y$27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Date'!$F$28:$G$28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Date'!$I$28:$Y$28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50718806"/>
        <c:axId val="636126531"/>
      </c:lineChart>
      <c:catAx>
        <c:axId val="2507188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36126531"/>
        <c:crosses val="autoZero"/>
        <c:auto val="1"/>
        <c:lblAlgn val="ctr"/>
        <c:lblOffset val="100"/>
        <c:noMultiLvlLbl val="0"/>
      </c:catAx>
      <c:valAx>
        <c:axId val="636126531"/>
        <c:scaling>
          <c:orientation val="minMax"/>
          <c:max val="0.9"/>
          <c:min val="0.7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507188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Date'!$F$27:$G$27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Date'!$Z$27:$AP$27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Date'!$F$28:$G$28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Date'!$Z$28:$AP$28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68247653"/>
        <c:axId val="605654554"/>
      </c:lineChart>
      <c:catAx>
        <c:axId val="8682476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05654554"/>
        <c:crosses val="autoZero"/>
        <c:auto val="1"/>
        <c:lblAlgn val="ctr"/>
        <c:lblOffset val="100"/>
        <c:noMultiLvlLbl val="0"/>
      </c:catAx>
      <c:valAx>
        <c:axId val="605654554"/>
        <c:scaling>
          <c:orientation val="minMax"/>
          <c:max val="0.9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82476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Date'!$F$29:$G$29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Date'!$I$29:$Y$29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Date'!$F$30:$G$30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Date'!$J$30:$Y$30</c:f>
              <c:numCache>
                <c:formatCode>General</c:formatCode>
                <c:ptCount val="16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26092545"/>
        <c:axId val="498928638"/>
      </c:lineChart>
      <c:catAx>
        <c:axId val="4260925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8928638"/>
        <c:crosses val="autoZero"/>
        <c:auto val="1"/>
        <c:lblAlgn val="ctr"/>
        <c:lblOffset val="100"/>
        <c:noMultiLvlLbl val="0"/>
      </c:catAx>
      <c:valAx>
        <c:axId val="49892863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260925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Date'!$F$29:$G$29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Date'!$Z$29:$AP$29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Date'!$F$30:$G$30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Date'!$Z$30:$AP$30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09296926"/>
        <c:axId val="959614029"/>
      </c:lineChart>
      <c:catAx>
        <c:axId val="7092969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59614029"/>
        <c:crosses val="autoZero"/>
        <c:auto val="1"/>
        <c:lblAlgn val="ctr"/>
        <c:lblOffset val="100"/>
        <c:noMultiLvlLbl val="0"/>
      </c:catAx>
      <c:valAx>
        <c:axId val="95961402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92969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Date'!$F$31:$G$31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Date'!$I$31:$Y$31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Date'!$F$32:$G$32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'LE-CTF Date'!$I$32:$Y$32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918760720"/>
        <c:axId val="680032063"/>
      </c:lineChart>
      <c:catAx>
        <c:axId val="9187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0032063"/>
        <c:crosses val="autoZero"/>
        <c:auto val="1"/>
        <c:lblAlgn val="ctr"/>
        <c:lblOffset val="100"/>
        <c:noMultiLvlLbl val="0"/>
      </c:catAx>
      <c:valAx>
        <c:axId val="6800320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87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Date'!$F$31:$G$31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Date'!$Z$31:$AP$31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Date'!$F$32:$G$32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'LE-CTF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'LE-CTF Date'!$Z$32:$AP$32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31797074"/>
        <c:axId val="538702484"/>
      </c:lineChart>
      <c:catAx>
        <c:axId val="1317970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8702484"/>
        <c:crosses val="autoZero"/>
        <c:auto val="1"/>
        <c:lblAlgn val="ctr"/>
        <c:lblOffset val="100"/>
        <c:noMultiLvlLbl val="0"/>
      </c:catAx>
      <c:valAx>
        <c:axId val="5387024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17970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Date'!$F$33:$G$33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Date'!$I$33:$Y$33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Date'!$F$34:$G$34</c:f>
              <c:strCache>
                <c:ptCount val="1"/>
                <c:pt idx="0">
                  <c:v>1cycle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Date'!$I$34:$Y$34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Date'!$F$35:$G$35</c:f>
              <c:strCache>
                <c:ptCount val="1"/>
                <c:pt idx="0">
                  <c:v>3cycle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Date'!$I$35:$Y$35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Date'!$F$36:$G$36</c:f>
              <c:strCache>
                <c:ptCount val="1"/>
                <c:pt idx="0">
                  <c:v>6cycle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Date'!$I$36:$Y$36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5449963"/>
        <c:axId val="889386367"/>
      </c:lineChart>
      <c:catAx>
        <c:axId val="754499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89386367"/>
        <c:crosses val="autoZero"/>
        <c:auto val="1"/>
        <c:lblAlgn val="ctr"/>
        <c:lblOffset val="100"/>
        <c:noMultiLvlLbl val="0"/>
      </c:catAx>
      <c:valAx>
        <c:axId val="88938636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54499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Date'!$F$37:$G$37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Date'!$I$37:$Y$37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Date'!$F$38:$G$38</c:f>
              <c:strCache>
                <c:ptCount val="1"/>
                <c:pt idx="0">
                  <c:v>1cycle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Date'!$I$38:$Y$38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Date'!$F$39:$G$39</c:f>
              <c:strCache>
                <c:ptCount val="1"/>
                <c:pt idx="0">
                  <c:v>3cycle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Date'!$I$39:$Y$39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Date'!$F$40:$G$40</c:f>
              <c:strCache>
                <c:ptCount val="1"/>
                <c:pt idx="0">
                  <c:v>6cycle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Date'!$I$40:$Y$40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69774926"/>
        <c:axId val="52364889"/>
      </c:lineChart>
      <c:catAx>
        <c:axId val="1697749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364889"/>
        <c:crosses val="autoZero"/>
        <c:auto val="1"/>
        <c:lblAlgn val="ctr"/>
        <c:lblOffset val="100"/>
        <c:noMultiLvlLbl val="0"/>
      </c:catAx>
      <c:valAx>
        <c:axId val="5236488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97749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Date'!$F$41:$G$41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Date'!$I$41:$Y$41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Date'!$F$42:$G$42</c:f>
              <c:strCache>
                <c:ptCount val="1"/>
                <c:pt idx="0">
                  <c:v>1cycle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Date'!$I$42:$Y$42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Date'!$F$43:$G$43</c:f>
              <c:strCache>
                <c:ptCount val="1"/>
                <c:pt idx="0">
                  <c:v>3cycle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Date'!$I$43:$Y$43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Date'!$F$44:$G$44</c:f>
              <c:strCache>
                <c:ptCount val="1"/>
                <c:pt idx="0">
                  <c:v>6cycle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Date'!$I$44:$Y$44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78328247"/>
        <c:axId val="929458473"/>
      </c:lineChart>
      <c:catAx>
        <c:axId val="178328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29458473"/>
        <c:crosses val="autoZero"/>
        <c:auto val="1"/>
        <c:lblAlgn val="ctr"/>
        <c:lblOffset val="100"/>
        <c:noMultiLvlLbl val="0"/>
      </c:catAx>
      <c:valAx>
        <c:axId val="92945847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7832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Date'!$F$33:$G$33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Date'!$Z$33:$AP$33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Date'!$F$34:$G$34</c:f>
              <c:strCache>
                <c:ptCount val="1"/>
                <c:pt idx="0">
                  <c:v>1cycle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Date'!$Z$34:$AP$34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Date'!$F$35:$G$35</c:f>
              <c:strCache>
                <c:ptCount val="1"/>
                <c:pt idx="0">
                  <c:v>3cycle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Date'!$Z$35:$AP$35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Date'!$F$36:$G$36</c:f>
              <c:strCache>
                <c:ptCount val="1"/>
                <c:pt idx="0">
                  <c:v>6cycle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Date'!$Z$36:$AP$36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08467301"/>
        <c:axId val="862500096"/>
      </c:lineChart>
      <c:catAx>
        <c:axId val="4084673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2500096"/>
        <c:crosses val="autoZero"/>
        <c:auto val="1"/>
        <c:lblAlgn val="ctr"/>
        <c:lblOffset val="100"/>
        <c:noMultiLvlLbl val="0"/>
      </c:catAx>
      <c:valAx>
        <c:axId val="8625000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084673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Date'!$F$37:$G$37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Date'!$Z$37:$AP$37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Date'!$F$38:$G$38</c:f>
              <c:strCache>
                <c:ptCount val="1"/>
                <c:pt idx="0">
                  <c:v>1cycle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Date'!$Z$38:$AP$38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Date'!$F$39:$G$39</c:f>
              <c:strCache>
                <c:ptCount val="1"/>
                <c:pt idx="0">
                  <c:v>3cycle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Date'!$Z$39:$AP$39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Date'!$F$40:$G$40</c:f>
              <c:strCache>
                <c:ptCount val="1"/>
                <c:pt idx="0">
                  <c:v>6cycle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Date'!$Z$40:$AP$40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653150410"/>
        <c:axId val="687104556"/>
      </c:lineChart>
      <c:catAx>
        <c:axId val="6531504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7104556"/>
        <c:crosses val="autoZero"/>
        <c:auto val="1"/>
        <c:lblAlgn val="ctr"/>
        <c:lblOffset val="100"/>
        <c:noMultiLvlLbl val="0"/>
      </c:catAx>
      <c:valAx>
        <c:axId val="6871045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31504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'LE-CTF Date'!$F$41</c:f>
              <c:strCache>
                <c:ptCount val="1"/>
                <c:pt idx="0">
                  <c:v>T0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Date'!$Z$41:$AP$41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'LE-CTF Date'!$F$42</c:f>
              <c:strCache>
                <c:ptCount val="1"/>
                <c:pt idx="0">
                  <c:v>1cycle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Date'!$Z$42:$AP$42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'LE-CTF Date'!$F$43</c:f>
              <c:strCache>
                <c:ptCount val="1"/>
                <c:pt idx="0">
                  <c:v>3cycle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Date'!$Z$43:$AP$43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'LE-CTF Date'!$F$44</c:f>
              <c:strCache>
                <c:ptCount val="1"/>
                <c:pt idx="0">
                  <c:v>6cycle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'LE-CTF Date'!$Z$44:$AP$44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67244433"/>
        <c:axId val="243341933"/>
      </c:lineChart>
      <c:catAx>
        <c:axId val="867244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3341933"/>
        <c:crosses val="autoZero"/>
        <c:auto val="1"/>
        <c:lblAlgn val="ctr"/>
        <c:lblOffset val="100"/>
        <c:noMultiLvlLbl val="0"/>
      </c:catAx>
      <c:valAx>
        <c:axId val="2433419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7244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Date'!$F$3:$H$3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Date'!$I$3:$Y$3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Date'!$F$4:$H$4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Date'!$I$4:$Y$4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Date'!$F$5:$H$5</c:f>
              <c:strCache>
                <c:ptCount val="1"/>
                <c:pt idx="0">
                  <c:v>T146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Date'!$I$5:$Y$5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Date'!$F$6:$H$6</c:f>
              <c:strCache>
                <c:ptCount val="1"/>
                <c:pt idx="0">
                  <c:v>T280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Date'!$I$6:$Y$6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527718146"/>
        <c:axId val="353454810"/>
      </c:lineChart>
      <c:catAx>
        <c:axId val="527718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53454810"/>
        <c:crosses val="autoZero"/>
        <c:auto val="1"/>
        <c:lblAlgn val="ctr"/>
        <c:lblOffset val="100"/>
        <c:noMultiLvlLbl val="0"/>
      </c:catAx>
      <c:valAx>
        <c:axId val="35345481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77181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Date'!$F$3:$H$3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Date'!$Z$3:$AP$3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Date'!$F$4:$H$4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Date'!$Z$4:$AP$4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Date'!$F$5:$H$5</c:f>
              <c:strCache>
                <c:ptCount val="1"/>
                <c:pt idx="0">
                  <c:v>T146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Date'!$Z$5:$AP$5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Date'!$F$6:$H$6</c:f>
              <c:strCache>
                <c:ptCount val="1"/>
                <c:pt idx="0">
                  <c:v>T280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Date'!$Z$6:$AP$6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96543433"/>
        <c:axId val="873696032"/>
      </c:lineChart>
      <c:catAx>
        <c:axId val="796543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73696032"/>
        <c:crosses val="autoZero"/>
        <c:auto val="1"/>
        <c:lblAlgn val="ctr"/>
        <c:lblOffset val="100"/>
        <c:noMultiLvlLbl val="0"/>
      </c:catAx>
      <c:valAx>
        <c:axId val="873696032"/>
        <c:scaling>
          <c:orientation val="minMax"/>
          <c:max val="0.8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96543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Date'!$F$7:$H$7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Date'!$I$7:$Y$7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Date'!$F$8:$H$8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Date'!$I$8:$Y$8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Date'!$F$9:$H$9</c:f>
              <c:strCache>
                <c:ptCount val="1"/>
                <c:pt idx="0">
                  <c:v>T146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Date'!$I$9:$Y$9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Date'!$F$10:$H$10</c:f>
              <c:strCache>
                <c:ptCount val="1"/>
                <c:pt idx="0">
                  <c:v>T280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Date'!$I$10:$Y$10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48203368"/>
        <c:axId val="699370052"/>
      </c:lineChart>
      <c:catAx>
        <c:axId val="24820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99370052"/>
        <c:crosses val="autoZero"/>
        <c:auto val="1"/>
        <c:lblAlgn val="ctr"/>
        <c:lblOffset val="100"/>
        <c:noMultiLvlLbl val="0"/>
      </c:catAx>
      <c:valAx>
        <c:axId val="699370052"/>
        <c:scaling>
          <c:orientation val="minMax"/>
          <c:max val="0.8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820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Date'!$F$7:$H$7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Date'!$Z$7:$AP$7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Date'!$F$8:$H$8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Date'!$Z$8:$AP$8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Date'!$F$9:$H$9</c:f>
              <c:strCache>
                <c:ptCount val="1"/>
                <c:pt idx="0">
                  <c:v>T146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Date'!$Z$9:$AP$9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Date'!$F$10:$H$10</c:f>
              <c:strCache>
                <c:ptCount val="1"/>
                <c:pt idx="0">
                  <c:v>T280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Date'!$Z$10:$AP$10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31703156"/>
        <c:axId val="52826362"/>
      </c:lineChart>
      <c:catAx>
        <c:axId val="2317031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826362"/>
        <c:crosses val="autoZero"/>
        <c:auto val="1"/>
        <c:lblAlgn val="ctr"/>
        <c:lblOffset val="100"/>
        <c:noMultiLvlLbl val="0"/>
      </c:catAx>
      <c:valAx>
        <c:axId val="52826362"/>
        <c:scaling>
          <c:orientation val="minMax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31703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Date'!$F$11:$H$11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Date'!$I$11:$Y$11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Date'!$F$12:$H$12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Date'!$I$12:$Y$12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Date'!$F$13:$H$13</c:f>
              <c:strCache>
                <c:ptCount val="1"/>
                <c:pt idx="0">
                  <c:v>T146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Date'!$I$13:$Y$13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Date'!$F$14:$H$14</c:f>
              <c:strCache>
                <c:ptCount val="1"/>
                <c:pt idx="0">
                  <c:v>T280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Date'!$I$14:$Y$14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04320183"/>
        <c:axId val="624904864"/>
      </c:lineChart>
      <c:catAx>
        <c:axId val="40432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24904864"/>
        <c:crosses val="autoZero"/>
        <c:auto val="1"/>
        <c:lblAlgn val="ctr"/>
        <c:lblOffset val="100"/>
        <c:noMultiLvlLbl val="0"/>
      </c:catAx>
      <c:valAx>
        <c:axId val="624904864"/>
        <c:scaling>
          <c:orientation val="minMax"/>
          <c:max val="0.9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0432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Date'!$F$11:$H$11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Date'!$Z$11:$AP$11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Date'!$F$12:$H$12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Date'!$Z$12:$AP$12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Date'!$F$13:$H$13</c:f>
              <c:strCache>
                <c:ptCount val="1"/>
                <c:pt idx="0">
                  <c:v>T146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Date'!$Z$13:$AP$13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Date'!$F$14:$H$14</c:f>
              <c:strCache>
                <c:ptCount val="1"/>
                <c:pt idx="0">
                  <c:v>T280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Date'!$Z$14:$AP$14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342104627"/>
        <c:axId val="883539008"/>
      </c:lineChart>
      <c:catAx>
        <c:axId val="3421046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83539008"/>
        <c:crosses val="autoZero"/>
        <c:auto val="1"/>
        <c:lblAlgn val="ctr"/>
        <c:lblOffset val="100"/>
        <c:noMultiLvlLbl val="0"/>
      </c:catAx>
      <c:valAx>
        <c:axId val="883539008"/>
        <c:scaling>
          <c:orientation val="minMax"/>
          <c:max val="0.9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421046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Date'!$F$15:$G$15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Date'!$I$15:$Y$15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Date'!$F$16:$G$16</c:f>
              <c:strCache>
                <c:ptCount val="1"/>
                <c:pt idx="0">
                  <c:v>35cycle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Date'!$I$16:$Y$16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Date'!$F$17:$G$17</c:f>
              <c:strCache>
                <c:ptCount val="1"/>
                <c:pt idx="0">
                  <c:v>70cycle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Date'!$I$17:$Y$17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Date'!$F$18:$G$18</c:f>
              <c:strCache>
                <c:ptCount val="1"/>
                <c:pt idx="0">
                  <c:v>100cycle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Date'!$I$18:$Y$18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23419240"/>
        <c:axId val="536580660"/>
      </c:lineChart>
      <c:catAx>
        <c:axId val="82341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6580660"/>
        <c:crosses val="autoZero"/>
        <c:auto val="1"/>
        <c:lblAlgn val="ctr"/>
        <c:lblOffset val="100"/>
        <c:noMultiLvlLbl val="0"/>
      </c:catAx>
      <c:valAx>
        <c:axId val="5365806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2341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Date'!$F$15:$G$15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Date'!$Z$15:$AP$15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Date'!$F$16:$G$16</c:f>
              <c:strCache>
                <c:ptCount val="1"/>
                <c:pt idx="0">
                  <c:v>35cycle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Date'!$Z$16:$AP$16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Date'!$F$17:$G$17</c:f>
              <c:strCache>
                <c:ptCount val="1"/>
                <c:pt idx="0">
                  <c:v>70cycle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Date'!$Z$17:$AP$17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Date'!$F$18:$G$18</c:f>
              <c:strCache>
                <c:ptCount val="1"/>
                <c:pt idx="0">
                  <c:v>100cycle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Date'!$Z$18:$AP$18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21431321"/>
        <c:axId val="578780133"/>
      </c:lineChart>
      <c:catAx>
        <c:axId val="7214313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78780133"/>
        <c:crosses val="autoZero"/>
        <c:auto val="1"/>
        <c:lblAlgn val="ctr"/>
        <c:lblOffset val="100"/>
        <c:noMultiLvlLbl val="0"/>
      </c:catAx>
      <c:valAx>
        <c:axId val="5787801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214313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Date'!$F$19:$G$19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Date'!$I$19:$Y$19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Date'!$F$20:$G$20</c:f>
              <c:strCache>
                <c:ptCount val="1"/>
                <c:pt idx="0">
                  <c:v>35cycle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Date'!$I$20:$Y$20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Date'!$F$21:$G$21</c:f>
              <c:strCache>
                <c:ptCount val="1"/>
                <c:pt idx="0">
                  <c:v>70cycle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Date'!$I$21:$Y$21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Date'!$F$22:$G$22</c:f>
              <c:strCache>
                <c:ptCount val="1"/>
                <c:pt idx="0">
                  <c:v>100cycle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Date'!$I$22:$Y$22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15929305"/>
        <c:axId val="913054881"/>
      </c:lineChart>
      <c:catAx>
        <c:axId val="4159293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3054881"/>
        <c:crosses val="autoZero"/>
        <c:auto val="1"/>
        <c:lblAlgn val="ctr"/>
        <c:lblOffset val="100"/>
        <c:noMultiLvlLbl val="0"/>
      </c:catAx>
      <c:valAx>
        <c:axId val="91305488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15929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Date'!$F$19:$G$19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Date'!$Z$19:$AP$19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Date'!$F$20:$G$20</c:f>
              <c:strCache>
                <c:ptCount val="1"/>
                <c:pt idx="0">
                  <c:v>35cycle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Date'!$Z$20:$AP$20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Date'!$F$21:$G$21</c:f>
              <c:strCache>
                <c:ptCount val="1"/>
                <c:pt idx="0">
                  <c:v>70cycle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Date'!$Z$21:$AP$21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Date'!$F$22:$G$22</c:f>
              <c:strCache>
                <c:ptCount val="1"/>
                <c:pt idx="0">
                  <c:v>100cycle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Date'!$Z$22:$AP$22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663804205"/>
        <c:axId val="134577840"/>
      </c:lineChart>
      <c:catAx>
        <c:axId val="663804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4577840"/>
        <c:crosses val="autoZero"/>
        <c:auto val="1"/>
        <c:lblAlgn val="ctr"/>
        <c:lblOffset val="100"/>
        <c:noMultiLvlLbl val="0"/>
      </c:catAx>
      <c:valAx>
        <c:axId val="1345778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3804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Date'!$F$23:$G$23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Date'!$Z$23:$AP$23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Date'!$F$24:$G$24</c:f>
              <c:strCache>
                <c:ptCount val="1"/>
                <c:pt idx="0">
                  <c:v>35cycle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Date'!$Z$24:$AP$24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Date'!$F$25:$G$25</c:f>
              <c:strCache>
                <c:ptCount val="1"/>
                <c:pt idx="0">
                  <c:v>70cycle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Date'!$Z$25:$AP$25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Date'!$F$26:$G$26</c:f>
              <c:strCache>
                <c:ptCount val="1"/>
                <c:pt idx="0">
                  <c:v>100cycle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Date'!$Z$26:$AP$26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27476260"/>
        <c:axId val="929254159"/>
      </c:lineChart>
      <c:catAx>
        <c:axId val="1274762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29254159"/>
        <c:crosses val="autoZero"/>
        <c:auto val="1"/>
        <c:lblAlgn val="ctr"/>
        <c:lblOffset val="100"/>
        <c:noMultiLvlLbl val="0"/>
      </c:catAx>
      <c:valAx>
        <c:axId val="9292541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27476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Date'!$F$23:$G$23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Date'!$I$23:$Y$23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Date'!$F$24:$G$24</c:f>
              <c:strCache>
                <c:ptCount val="1"/>
                <c:pt idx="0">
                  <c:v>35cycle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Date'!$I$24:$Y$24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Date'!$F$25:$G$25</c:f>
              <c:strCache>
                <c:ptCount val="1"/>
                <c:pt idx="0">
                  <c:v>70cycle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Date'!$I$25:$Y$25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Date'!$F$26:$G$26</c:f>
              <c:strCache>
                <c:ptCount val="1"/>
                <c:pt idx="0">
                  <c:v>100cycle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Date'!$I$26:$Y$26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56341830"/>
        <c:axId val="904071405"/>
      </c:lineChart>
      <c:catAx>
        <c:axId val="856341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04071405"/>
        <c:crosses val="autoZero"/>
        <c:auto val="1"/>
        <c:lblAlgn val="ctr"/>
        <c:lblOffset val="100"/>
        <c:noMultiLvlLbl val="0"/>
      </c:catAx>
      <c:valAx>
        <c:axId val="90407140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56341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Date'!$F$27:$G$27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Date'!$I$27:$Y$27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Date'!$F$28:$G$28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Date'!$I$28:$Y$28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250718806"/>
        <c:axId val="636126531"/>
      </c:lineChart>
      <c:catAx>
        <c:axId val="2507188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36126531"/>
        <c:crosses val="autoZero"/>
        <c:auto val="1"/>
        <c:lblAlgn val="ctr"/>
        <c:lblOffset val="100"/>
        <c:noMultiLvlLbl val="0"/>
      </c:catAx>
      <c:valAx>
        <c:axId val="636126531"/>
        <c:scaling>
          <c:orientation val="minMax"/>
          <c:max val="0.9"/>
          <c:min val="0.7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507188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Date'!$F$27:$G$27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Date'!$Z$27:$AP$27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Date'!$F$28:$G$28</c:f>
              <c:strCache>
                <c:ptCount val="1"/>
                <c:pt idx="0">
                  <c:v>T72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Date'!$Z$28:$AP$28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68247653"/>
        <c:axId val="605654554"/>
      </c:lineChart>
      <c:catAx>
        <c:axId val="8682476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05654554"/>
        <c:crosses val="autoZero"/>
        <c:auto val="1"/>
        <c:lblAlgn val="ctr"/>
        <c:lblOffset val="100"/>
        <c:noMultiLvlLbl val="0"/>
      </c:catAx>
      <c:valAx>
        <c:axId val="605654554"/>
        <c:scaling>
          <c:orientation val="minMax"/>
          <c:max val="0.9"/>
          <c:min val="0.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82476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Date'!$F$29:$G$29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Date'!$I$29:$Y$29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Date'!$F$30:$G$30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Date'!$J$30:$Y$30</c:f>
              <c:numCache>
                <c:formatCode>General</c:formatCode>
                <c:ptCount val="16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26092545"/>
        <c:axId val="498928638"/>
      </c:lineChart>
      <c:catAx>
        <c:axId val="4260925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8928638"/>
        <c:crosses val="autoZero"/>
        <c:auto val="1"/>
        <c:lblAlgn val="ctr"/>
        <c:lblOffset val="100"/>
        <c:noMultiLvlLbl val="0"/>
      </c:catAx>
      <c:valAx>
        <c:axId val="49892863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260925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Date'!$F$29:$G$29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Date'!$Z$29:$AP$29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Date'!$F$30:$G$30</c:f>
              <c:strCache>
                <c:ptCount val="1"/>
                <c:pt idx="0">
                  <c:v>T72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Date'!$Z$30:$AP$30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09296926"/>
        <c:axId val="959614029"/>
      </c:lineChart>
      <c:catAx>
        <c:axId val="7092969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59614029"/>
        <c:crosses val="autoZero"/>
        <c:auto val="1"/>
        <c:lblAlgn val="ctr"/>
        <c:lblOffset val="100"/>
        <c:noMultiLvlLbl val="0"/>
      </c:catAx>
      <c:valAx>
        <c:axId val="95961402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92969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Date'!$F$31:$G$31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Date'!$I$31:$Y$31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Date'!$F$32:$G$32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Date'!$I$2:$Y$2</c:f>
              <c:strCache>
                <c:ptCount val="17"/>
                <c:pt idx="0">
                  <c:v>CTFH_1</c:v>
                </c:pt>
                <c:pt idx="1">
                  <c:v>CTFH_2</c:v>
                </c:pt>
                <c:pt idx="2">
                  <c:v>CTFH_3</c:v>
                </c:pt>
                <c:pt idx="3">
                  <c:v>CTFH_4</c:v>
                </c:pt>
                <c:pt idx="4">
                  <c:v>CTFH_5</c:v>
                </c:pt>
                <c:pt idx="5">
                  <c:v>CTFH_6</c:v>
                </c:pt>
                <c:pt idx="6">
                  <c:v>CTFH_7</c:v>
                </c:pt>
                <c:pt idx="7">
                  <c:v>CTFH_8</c:v>
                </c:pt>
                <c:pt idx="8">
                  <c:v>CTFH_9</c:v>
                </c:pt>
                <c:pt idx="9">
                  <c:v>CTFH_10</c:v>
                </c:pt>
                <c:pt idx="10">
                  <c:v>CTFH_11</c:v>
                </c:pt>
                <c:pt idx="11">
                  <c:v>CTFH_12</c:v>
                </c:pt>
                <c:pt idx="12">
                  <c:v>CTFH_13</c:v>
                </c:pt>
                <c:pt idx="13">
                  <c:v>CTFH_14</c:v>
                </c:pt>
                <c:pt idx="14">
                  <c:v>CTFH_15</c:v>
                </c:pt>
                <c:pt idx="15">
                  <c:v>CTFH_16</c:v>
                </c:pt>
                <c:pt idx="16">
                  <c:v>CTFH_17</c:v>
                </c:pt>
              </c:strCache>
            </c:strRef>
          </c:cat>
          <c:val>
            <c:numRef>
              <c:f>'WG-DOE-CTF Date'!$I$32:$Y$32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918760720"/>
        <c:axId val="680032063"/>
      </c:lineChart>
      <c:catAx>
        <c:axId val="9187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0032063"/>
        <c:crosses val="autoZero"/>
        <c:auto val="1"/>
        <c:lblAlgn val="ctr"/>
        <c:lblOffset val="100"/>
        <c:noMultiLvlLbl val="0"/>
      </c:catAx>
      <c:valAx>
        <c:axId val="6800320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87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Date'!$F$31:$G$31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Date'!$Z$31:$AP$31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Date'!$F$32:$G$32</c:f>
              <c:strCache>
                <c:ptCount val="1"/>
                <c:pt idx="0">
                  <c:v>T72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'WG-DOE-CTF Date'!$Z$2:$AP$2</c:f>
              <c:strCache>
                <c:ptCount val="17"/>
                <c:pt idx="0">
                  <c:v>CTFV_1</c:v>
                </c:pt>
                <c:pt idx="1">
                  <c:v>CTFV_2</c:v>
                </c:pt>
                <c:pt idx="2">
                  <c:v>CTFV_3</c:v>
                </c:pt>
                <c:pt idx="3">
                  <c:v>CTFV_4</c:v>
                </c:pt>
                <c:pt idx="4">
                  <c:v>CTFV_5</c:v>
                </c:pt>
                <c:pt idx="5">
                  <c:v>CTFV_6</c:v>
                </c:pt>
                <c:pt idx="6">
                  <c:v>CTFV_7</c:v>
                </c:pt>
                <c:pt idx="7">
                  <c:v>CTFV_8</c:v>
                </c:pt>
                <c:pt idx="8">
                  <c:v>CTFV_9</c:v>
                </c:pt>
                <c:pt idx="9">
                  <c:v>CTFV_10</c:v>
                </c:pt>
                <c:pt idx="10">
                  <c:v>CTFV_11</c:v>
                </c:pt>
                <c:pt idx="11">
                  <c:v>CTFV_12</c:v>
                </c:pt>
                <c:pt idx="12">
                  <c:v>CTFV_13</c:v>
                </c:pt>
                <c:pt idx="13">
                  <c:v>CTFV_14</c:v>
                </c:pt>
                <c:pt idx="14">
                  <c:v>CTFV_15</c:v>
                </c:pt>
                <c:pt idx="15">
                  <c:v>CTFV_16</c:v>
                </c:pt>
                <c:pt idx="16">
                  <c:v>CTFV_17</c:v>
                </c:pt>
              </c:strCache>
            </c:strRef>
          </c:cat>
          <c:val>
            <c:numRef>
              <c:f>'WG-DOE-CTF Date'!$Z$32:$AP$32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31797074"/>
        <c:axId val="538702484"/>
      </c:lineChart>
      <c:catAx>
        <c:axId val="1317970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8702484"/>
        <c:crosses val="autoZero"/>
        <c:auto val="1"/>
        <c:lblAlgn val="ctr"/>
        <c:lblOffset val="100"/>
        <c:noMultiLvlLbl val="0"/>
      </c:catAx>
      <c:valAx>
        <c:axId val="5387024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17970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Date'!$F$33:$G$33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Date'!$I$33:$Y$33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Date'!$F$34:$G$34</c:f>
              <c:strCache>
                <c:ptCount val="1"/>
                <c:pt idx="0">
                  <c:v>1cycle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Date'!$I$34:$Y$34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Date'!$F$35:$G$35</c:f>
              <c:strCache>
                <c:ptCount val="1"/>
                <c:pt idx="0">
                  <c:v>3cycle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Date'!$I$35:$Y$35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Date'!$F$36:$G$36</c:f>
              <c:strCache>
                <c:ptCount val="1"/>
                <c:pt idx="0">
                  <c:v>6cycle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Date'!$I$36:$Y$36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75449963"/>
        <c:axId val="889386367"/>
      </c:lineChart>
      <c:catAx>
        <c:axId val="754499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89386367"/>
        <c:crosses val="autoZero"/>
        <c:auto val="1"/>
        <c:lblAlgn val="ctr"/>
        <c:lblOffset val="100"/>
        <c:noMultiLvlLbl val="0"/>
      </c:catAx>
      <c:valAx>
        <c:axId val="88938636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54499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Date'!$F$37:$G$37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Date'!$I$37:$Y$37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Date'!$F$38:$G$38</c:f>
              <c:strCache>
                <c:ptCount val="1"/>
                <c:pt idx="0">
                  <c:v>1cycle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Date'!$I$38:$Y$38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Date'!$F$39:$G$39</c:f>
              <c:strCache>
                <c:ptCount val="1"/>
                <c:pt idx="0">
                  <c:v>3cycle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Date'!$I$39:$Y$39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Date'!$F$40:$G$40</c:f>
              <c:strCache>
                <c:ptCount val="1"/>
                <c:pt idx="0">
                  <c:v>6cycle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Date'!$I$40:$Y$40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69774926"/>
        <c:axId val="52364889"/>
      </c:lineChart>
      <c:catAx>
        <c:axId val="1697749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364889"/>
        <c:crosses val="autoZero"/>
        <c:auto val="1"/>
        <c:lblAlgn val="ctr"/>
        <c:lblOffset val="100"/>
        <c:noMultiLvlLbl val="0"/>
      </c:catAx>
      <c:valAx>
        <c:axId val="5236488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97749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Date'!$F$41:$G$41</c:f>
              <c:strCache>
                <c:ptCount val="1"/>
                <c:pt idx="0">
                  <c:v>T0 3#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Date'!$I$41:$Y$41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Date'!$F$42:$G$42</c:f>
              <c:strCache>
                <c:ptCount val="1"/>
                <c:pt idx="0">
                  <c:v>1cycle 3#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Date'!$I$42:$Y$42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Date'!$F$43:$G$43</c:f>
              <c:strCache>
                <c:ptCount val="1"/>
                <c:pt idx="0">
                  <c:v>3cycle 3#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Date'!$I$43:$Y$43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Date'!$F$44:$G$44</c:f>
              <c:strCache>
                <c:ptCount val="1"/>
                <c:pt idx="0">
                  <c:v>6cycle 3#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Date'!$I$44:$Y$44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178328247"/>
        <c:axId val="929458473"/>
      </c:lineChart>
      <c:catAx>
        <c:axId val="178328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29458473"/>
        <c:crosses val="autoZero"/>
        <c:auto val="1"/>
        <c:lblAlgn val="ctr"/>
        <c:lblOffset val="100"/>
        <c:noMultiLvlLbl val="0"/>
      </c:catAx>
      <c:valAx>
        <c:axId val="92945847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7832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Date'!$F$33:$G$33</c:f>
              <c:strCache>
                <c:ptCount val="1"/>
                <c:pt idx="0">
                  <c:v>T0 1#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Date'!$Z$33:$AP$33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Date'!$F$34:$G$34</c:f>
              <c:strCache>
                <c:ptCount val="1"/>
                <c:pt idx="0">
                  <c:v>1cycle 1#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Date'!$Z$34:$AP$34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Date'!$F$35:$G$35</c:f>
              <c:strCache>
                <c:ptCount val="1"/>
                <c:pt idx="0">
                  <c:v>3cycle 1#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Date'!$Z$35:$AP$35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Date'!$F$36:$G$36</c:f>
              <c:strCache>
                <c:ptCount val="1"/>
                <c:pt idx="0">
                  <c:v>6cycle 1#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Date'!$Z$36:$AP$36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408467301"/>
        <c:axId val="862500096"/>
      </c:lineChart>
      <c:catAx>
        <c:axId val="4084673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2500096"/>
        <c:crosses val="autoZero"/>
        <c:auto val="1"/>
        <c:lblAlgn val="ctr"/>
        <c:lblOffset val="100"/>
        <c:noMultiLvlLbl val="0"/>
      </c:catAx>
      <c:valAx>
        <c:axId val="8625000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084673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Date'!$F$37:$G$37</c:f>
              <c:strCache>
                <c:ptCount val="1"/>
                <c:pt idx="0">
                  <c:v>T0 2#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Date'!$Z$37:$AP$37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Date'!$F$38:$G$38</c:f>
              <c:strCache>
                <c:ptCount val="1"/>
                <c:pt idx="0">
                  <c:v>1cycle 2#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Date'!$Z$38:$AP$38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Date'!$F$39:$G$39</c:f>
              <c:strCache>
                <c:ptCount val="1"/>
                <c:pt idx="0">
                  <c:v>3cycle 2#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Date'!$Z$39:$AP$39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Date'!$F$40:$G$40</c:f>
              <c:strCache>
                <c:ptCount val="1"/>
                <c:pt idx="0">
                  <c:v>6cycle 2#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Date'!$Z$40:$AP$40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653150410"/>
        <c:axId val="687104556"/>
      </c:lineChart>
      <c:catAx>
        <c:axId val="6531504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87104556"/>
        <c:crosses val="autoZero"/>
        <c:auto val="1"/>
        <c:lblAlgn val="ctr"/>
        <c:lblOffset val="100"/>
        <c:noMultiLvlLbl val="0"/>
      </c:catAx>
      <c:valAx>
        <c:axId val="6871045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31504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'WG-DOE-CTF Date'!$F$41</c:f>
              <c:strCache>
                <c:ptCount val="1"/>
                <c:pt idx="0">
                  <c:v>T0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Date'!$Z$41:$AP$41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1"/>
          <c:order val="1"/>
          <c:tx>
            <c:strRef>
              <c:f>'WG-DOE-CTF Date'!$F$42</c:f>
              <c:strCache>
                <c:ptCount val="1"/>
                <c:pt idx="0">
                  <c:v>1cycle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Date'!$Z$42:$AP$42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2"/>
          <c:order val="2"/>
          <c:tx>
            <c:strRef>
              <c:f>'WG-DOE-CTF Date'!$F$43</c:f>
              <c:strCache>
                <c:ptCount val="1"/>
                <c:pt idx="0">
                  <c:v>3cycle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Date'!$Z$43:$AP$43</c:f>
              <c:numCache>
                <c:formatCode>General</c:formatCode>
                <c:ptCount val="17"/>
              </c:numCache>
            </c:numRef>
          </c:val>
          <c:smooth val="1"/>
        </c:ser>
        <c:ser>
          <c:idx val="3"/>
          <c:order val="3"/>
          <c:tx>
            <c:strRef>
              <c:f>'WG-DOE-CTF Date'!$F$44</c:f>
              <c:strCache>
                <c:ptCount val="1"/>
                <c:pt idx="0">
                  <c:v>6cycle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'WG-DOE-CTF Date'!$Z$44:$AP$44</c:f>
              <c:numCache>
                <c:formatCode>General</c:formatCode>
                <c:ptCount val="17"/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prstDash val="sysDash"/>
              <a:round/>
            </a:ln>
            <a:effectLst/>
          </c:spPr>
        </c:dropLines>
        <c:marker val="0"/>
        <c:smooth val="1"/>
        <c:axId val="867244433"/>
        <c:axId val="243341933"/>
      </c:lineChart>
      <c:catAx>
        <c:axId val="867244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3341933"/>
        <c:crosses val="autoZero"/>
        <c:auto val="1"/>
        <c:lblAlgn val="ctr"/>
        <c:lblOffset val="100"/>
        <c:noMultiLvlLbl val="0"/>
      </c:catAx>
      <c:valAx>
        <c:axId val="2433419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67244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9" Type="http://schemas.openxmlformats.org/officeDocument/2006/relationships/image" Target="../media/image5.emf"/><Relationship Id="rId28" Type="http://schemas.openxmlformats.org/officeDocument/2006/relationships/image" Target="../media/image4.emf"/><Relationship Id="rId27" Type="http://schemas.openxmlformats.org/officeDocument/2006/relationships/image" Target="../media/image3.emf"/><Relationship Id="rId26" Type="http://schemas.openxmlformats.org/officeDocument/2006/relationships/image" Target="../media/image2.emf"/><Relationship Id="rId25" Type="http://schemas.openxmlformats.org/officeDocument/2006/relationships/image" Target="../media/image1.emf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3.xml"/><Relationship Id="rId8" Type="http://schemas.openxmlformats.org/officeDocument/2006/relationships/chart" Target="../charts/chart32.xml"/><Relationship Id="rId7" Type="http://schemas.openxmlformats.org/officeDocument/2006/relationships/chart" Target="../charts/chart31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Relationship Id="rId3" Type="http://schemas.openxmlformats.org/officeDocument/2006/relationships/chart" Target="../charts/chart27.xml"/><Relationship Id="rId24" Type="http://schemas.openxmlformats.org/officeDocument/2006/relationships/chart" Target="../charts/chart48.xml"/><Relationship Id="rId23" Type="http://schemas.openxmlformats.org/officeDocument/2006/relationships/chart" Target="../charts/chart47.xml"/><Relationship Id="rId22" Type="http://schemas.openxmlformats.org/officeDocument/2006/relationships/chart" Target="../charts/chart46.xml"/><Relationship Id="rId21" Type="http://schemas.openxmlformats.org/officeDocument/2006/relationships/chart" Target="../charts/chart45.xml"/><Relationship Id="rId20" Type="http://schemas.openxmlformats.org/officeDocument/2006/relationships/chart" Target="../charts/chart44.xml"/><Relationship Id="rId2" Type="http://schemas.openxmlformats.org/officeDocument/2006/relationships/chart" Target="../charts/chart26.xml"/><Relationship Id="rId19" Type="http://schemas.openxmlformats.org/officeDocument/2006/relationships/chart" Target="../charts/chart43.xml"/><Relationship Id="rId18" Type="http://schemas.openxmlformats.org/officeDocument/2006/relationships/chart" Target="../charts/chart42.xml"/><Relationship Id="rId17" Type="http://schemas.openxmlformats.org/officeDocument/2006/relationships/chart" Target="../charts/chart41.xml"/><Relationship Id="rId16" Type="http://schemas.openxmlformats.org/officeDocument/2006/relationships/chart" Target="../charts/chart40.xml"/><Relationship Id="rId15" Type="http://schemas.openxmlformats.org/officeDocument/2006/relationships/chart" Target="../charts/chart39.xml"/><Relationship Id="rId14" Type="http://schemas.openxmlformats.org/officeDocument/2006/relationships/chart" Target="../charts/chart38.xml"/><Relationship Id="rId13" Type="http://schemas.openxmlformats.org/officeDocument/2006/relationships/chart" Target="../charts/chart37.xml"/><Relationship Id="rId12" Type="http://schemas.openxmlformats.org/officeDocument/2006/relationships/chart" Target="../charts/chart36.xml"/><Relationship Id="rId11" Type="http://schemas.openxmlformats.org/officeDocument/2006/relationships/chart" Target="../charts/chart35.xml"/><Relationship Id="rId10" Type="http://schemas.openxmlformats.org/officeDocument/2006/relationships/chart" Target="../charts/chart34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57.xml"/><Relationship Id="rId8" Type="http://schemas.openxmlformats.org/officeDocument/2006/relationships/chart" Target="../charts/chart56.xml"/><Relationship Id="rId7" Type="http://schemas.openxmlformats.org/officeDocument/2006/relationships/chart" Target="../charts/chart55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Relationship Id="rId3" Type="http://schemas.openxmlformats.org/officeDocument/2006/relationships/chart" Target="../charts/chart51.xml"/><Relationship Id="rId24" Type="http://schemas.openxmlformats.org/officeDocument/2006/relationships/chart" Target="../charts/chart72.xml"/><Relationship Id="rId23" Type="http://schemas.openxmlformats.org/officeDocument/2006/relationships/chart" Target="../charts/chart71.xml"/><Relationship Id="rId22" Type="http://schemas.openxmlformats.org/officeDocument/2006/relationships/chart" Target="../charts/chart70.xml"/><Relationship Id="rId21" Type="http://schemas.openxmlformats.org/officeDocument/2006/relationships/chart" Target="../charts/chart69.xml"/><Relationship Id="rId20" Type="http://schemas.openxmlformats.org/officeDocument/2006/relationships/chart" Target="../charts/chart68.xml"/><Relationship Id="rId2" Type="http://schemas.openxmlformats.org/officeDocument/2006/relationships/chart" Target="../charts/chart50.xml"/><Relationship Id="rId19" Type="http://schemas.openxmlformats.org/officeDocument/2006/relationships/chart" Target="../charts/chart67.xml"/><Relationship Id="rId18" Type="http://schemas.openxmlformats.org/officeDocument/2006/relationships/chart" Target="../charts/chart66.xml"/><Relationship Id="rId17" Type="http://schemas.openxmlformats.org/officeDocument/2006/relationships/chart" Target="../charts/chart65.xml"/><Relationship Id="rId16" Type="http://schemas.openxmlformats.org/officeDocument/2006/relationships/chart" Target="../charts/chart64.xml"/><Relationship Id="rId15" Type="http://schemas.openxmlformats.org/officeDocument/2006/relationships/chart" Target="../charts/chart63.xml"/><Relationship Id="rId14" Type="http://schemas.openxmlformats.org/officeDocument/2006/relationships/chart" Target="../charts/chart62.xml"/><Relationship Id="rId13" Type="http://schemas.openxmlformats.org/officeDocument/2006/relationships/chart" Target="../charts/chart61.xml"/><Relationship Id="rId12" Type="http://schemas.openxmlformats.org/officeDocument/2006/relationships/chart" Target="../charts/chart60.xml"/><Relationship Id="rId11" Type="http://schemas.openxmlformats.org/officeDocument/2006/relationships/chart" Target="../charts/chart59.xml"/><Relationship Id="rId10" Type="http://schemas.openxmlformats.org/officeDocument/2006/relationships/chart" Target="../charts/chart58.xml"/><Relationship Id="rId1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27</xdr:col>
      <xdr:colOff>111760</xdr:colOff>
      <xdr:row>2</xdr:row>
      <xdr:rowOff>129540</xdr:rowOff>
    </xdr:from>
    <xdr:to>
      <xdr:col>44</xdr:col>
      <xdr:colOff>273685</xdr:colOff>
      <xdr:row>2</xdr:row>
      <xdr:rowOff>321310</xdr:rowOff>
    </xdr:to>
    <xdr:sp>
      <xdr:nvSpPr>
        <xdr:cNvPr id="2" name="箭头: 右 1"/>
        <xdr:cNvSpPr/>
      </xdr:nvSpPr>
      <xdr:spPr>
        <a:xfrm>
          <a:off x="52049045" y="1107440"/>
          <a:ext cx="26593800" cy="191770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</xdr:col>
      <xdr:colOff>149225</xdr:colOff>
      <xdr:row>18</xdr:row>
      <xdr:rowOff>57150</xdr:rowOff>
    </xdr:from>
    <xdr:to>
      <xdr:col>2</xdr:col>
      <xdr:colOff>1477010</xdr:colOff>
      <xdr:row>18</xdr:row>
      <xdr:rowOff>236855</xdr:rowOff>
    </xdr:to>
    <xdr:sp>
      <xdr:nvSpPr>
        <xdr:cNvPr id="3" name="箭头: 右 47"/>
        <xdr:cNvSpPr/>
      </xdr:nvSpPr>
      <xdr:spPr>
        <a:xfrm>
          <a:off x="3578225" y="8223250"/>
          <a:ext cx="1327785" cy="179705"/>
        </a:xfrm>
        <a:prstGeom prst="rightArrow">
          <a:avLst>
            <a:gd name="adj1" fmla="val 58064"/>
            <a:gd name="adj2" fmla="val 50000"/>
          </a:avLst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</xdr:col>
      <xdr:colOff>137795</xdr:colOff>
      <xdr:row>19</xdr:row>
      <xdr:rowOff>68580</xdr:rowOff>
    </xdr:from>
    <xdr:to>
      <xdr:col>2</xdr:col>
      <xdr:colOff>1465580</xdr:colOff>
      <xdr:row>19</xdr:row>
      <xdr:rowOff>248285</xdr:rowOff>
    </xdr:to>
    <xdr:sp>
      <xdr:nvSpPr>
        <xdr:cNvPr id="4" name="箭头: 右 48"/>
        <xdr:cNvSpPr/>
      </xdr:nvSpPr>
      <xdr:spPr>
        <a:xfrm>
          <a:off x="3566795" y="8679180"/>
          <a:ext cx="1327785" cy="179705"/>
        </a:xfrm>
        <a:prstGeom prst="rightArrow">
          <a:avLst>
            <a:gd name="adj1" fmla="val 58064"/>
            <a:gd name="adj2" fmla="val 5000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11</xdr:col>
      <xdr:colOff>208280</xdr:colOff>
      <xdr:row>6</xdr:row>
      <xdr:rowOff>106045</xdr:rowOff>
    </xdr:from>
    <xdr:to>
      <xdr:col>15</xdr:col>
      <xdr:colOff>326390</xdr:colOff>
      <xdr:row>6</xdr:row>
      <xdr:rowOff>285750</xdr:rowOff>
    </xdr:to>
    <xdr:sp>
      <xdr:nvSpPr>
        <xdr:cNvPr id="5" name="箭头: 右 3"/>
        <xdr:cNvSpPr/>
      </xdr:nvSpPr>
      <xdr:spPr>
        <a:xfrm>
          <a:off x="29087445" y="2938145"/>
          <a:ext cx="5970270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11</xdr:col>
      <xdr:colOff>303530</xdr:colOff>
      <xdr:row>8</xdr:row>
      <xdr:rowOff>121920</xdr:rowOff>
    </xdr:from>
    <xdr:to>
      <xdr:col>15</xdr:col>
      <xdr:colOff>285115</xdr:colOff>
      <xdr:row>8</xdr:row>
      <xdr:rowOff>282575</xdr:rowOff>
    </xdr:to>
    <xdr:sp>
      <xdr:nvSpPr>
        <xdr:cNvPr id="6" name="箭头: 右 3"/>
        <xdr:cNvSpPr/>
      </xdr:nvSpPr>
      <xdr:spPr>
        <a:xfrm>
          <a:off x="29182695" y="3843020"/>
          <a:ext cx="5833745" cy="16065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116205</xdr:colOff>
      <xdr:row>4</xdr:row>
      <xdr:rowOff>60960</xdr:rowOff>
    </xdr:from>
    <xdr:to>
      <xdr:col>41</xdr:col>
      <xdr:colOff>650875</xdr:colOff>
      <xdr:row>4</xdr:row>
      <xdr:rowOff>240665</xdr:rowOff>
    </xdr:to>
    <xdr:sp>
      <xdr:nvSpPr>
        <xdr:cNvPr id="7" name="箭头: 右 7"/>
        <xdr:cNvSpPr/>
      </xdr:nvSpPr>
      <xdr:spPr>
        <a:xfrm>
          <a:off x="52053490" y="1927860"/>
          <a:ext cx="22394545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109220</xdr:colOff>
      <xdr:row>10</xdr:row>
      <xdr:rowOff>88900</xdr:rowOff>
    </xdr:from>
    <xdr:to>
      <xdr:col>52</xdr:col>
      <xdr:colOff>415290</xdr:colOff>
      <xdr:row>10</xdr:row>
      <xdr:rowOff>294640</xdr:rowOff>
    </xdr:to>
    <xdr:sp>
      <xdr:nvSpPr>
        <xdr:cNvPr id="8" name="箭头: 右 3"/>
        <xdr:cNvSpPr/>
      </xdr:nvSpPr>
      <xdr:spPr>
        <a:xfrm>
          <a:off x="52046505" y="4699000"/>
          <a:ext cx="37649785" cy="205740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121920</xdr:colOff>
      <xdr:row>14</xdr:row>
      <xdr:rowOff>88900</xdr:rowOff>
    </xdr:from>
    <xdr:to>
      <xdr:col>34</xdr:col>
      <xdr:colOff>403860</xdr:colOff>
      <xdr:row>14</xdr:row>
      <xdr:rowOff>231140</xdr:rowOff>
    </xdr:to>
    <xdr:sp>
      <xdr:nvSpPr>
        <xdr:cNvPr id="9" name="箭头: 右 7"/>
        <xdr:cNvSpPr/>
      </xdr:nvSpPr>
      <xdr:spPr>
        <a:xfrm>
          <a:off x="52059205" y="6477000"/>
          <a:ext cx="11473815" cy="142240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13</xdr:col>
      <xdr:colOff>74930</xdr:colOff>
      <xdr:row>12</xdr:row>
      <xdr:rowOff>83820</xdr:rowOff>
    </xdr:from>
    <xdr:to>
      <xdr:col>13</xdr:col>
      <xdr:colOff>636905</xdr:colOff>
      <xdr:row>12</xdr:row>
      <xdr:rowOff>269240</xdr:rowOff>
    </xdr:to>
    <xdr:sp>
      <xdr:nvSpPr>
        <xdr:cNvPr id="10" name="箭头: 右 3"/>
        <xdr:cNvSpPr/>
      </xdr:nvSpPr>
      <xdr:spPr>
        <a:xfrm>
          <a:off x="32002095" y="5582920"/>
          <a:ext cx="561975" cy="185420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26</xdr:col>
      <xdr:colOff>261620</xdr:colOff>
      <xdr:row>7</xdr:row>
      <xdr:rowOff>101600</xdr:rowOff>
    </xdr:from>
    <xdr:to>
      <xdr:col>30</xdr:col>
      <xdr:colOff>291465</xdr:colOff>
      <xdr:row>7</xdr:row>
      <xdr:rowOff>268605</xdr:rowOff>
    </xdr:to>
    <xdr:sp>
      <xdr:nvSpPr>
        <xdr:cNvPr id="11" name="箭头: 右 48"/>
        <xdr:cNvSpPr/>
      </xdr:nvSpPr>
      <xdr:spPr>
        <a:xfrm>
          <a:off x="50674905" y="3378200"/>
          <a:ext cx="6125845" cy="167005"/>
        </a:xfrm>
        <a:prstGeom prst="rightArrow">
          <a:avLst>
            <a:gd name="adj1" fmla="val 58064"/>
            <a:gd name="adj2" fmla="val 5000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26</xdr:col>
      <xdr:colOff>111760</xdr:colOff>
      <xdr:row>3</xdr:row>
      <xdr:rowOff>129540</xdr:rowOff>
    </xdr:from>
    <xdr:to>
      <xdr:col>40</xdr:col>
      <xdr:colOff>439420</xdr:colOff>
      <xdr:row>3</xdr:row>
      <xdr:rowOff>258445</xdr:rowOff>
    </xdr:to>
    <xdr:sp>
      <xdr:nvSpPr>
        <xdr:cNvPr id="13" name="箭头: 右 1"/>
        <xdr:cNvSpPr/>
      </xdr:nvSpPr>
      <xdr:spPr>
        <a:xfrm>
          <a:off x="50525045" y="1551940"/>
          <a:ext cx="22187535" cy="128905"/>
        </a:xfrm>
        <a:prstGeom prst="rightArrow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33</xdr:col>
      <xdr:colOff>198120</xdr:colOff>
      <xdr:row>15</xdr:row>
      <xdr:rowOff>114300</xdr:rowOff>
    </xdr:from>
    <xdr:to>
      <xdr:col>40</xdr:col>
      <xdr:colOff>467360</xdr:colOff>
      <xdr:row>15</xdr:row>
      <xdr:rowOff>218440</xdr:rowOff>
    </xdr:to>
    <xdr:sp>
      <xdr:nvSpPr>
        <xdr:cNvPr id="14" name="箭头: 右 1"/>
        <xdr:cNvSpPr/>
      </xdr:nvSpPr>
      <xdr:spPr>
        <a:xfrm>
          <a:off x="61803280" y="6946900"/>
          <a:ext cx="10937240" cy="104140"/>
        </a:xfrm>
        <a:prstGeom prst="rightArrow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25</xdr:col>
      <xdr:colOff>116205</xdr:colOff>
      <xdr:row>5</xdr:row>
      <xdr:rowOff>60960</xdr:rowOff>
    </xdr:from>
    <xdr:to>
      <xdr:col>40</xdr:col>
      <xdr:colOff>332740</xdr:colOff>
      <xdr:row>5</xdr:row>
      <xdr:rowOff>240665</xdr:rowOff>
    </xdr:to>
    <xdr:sp>
      <xdr:nvSpPr>
        <xdr:cNvPr id="15" name="箭头: 右 7"/>
        <xdr:cNvSpPr/>
      </xdr:nvSpPr>
      <xdr:spPr>
        <a:xfrm>
          <a:off x="49005490" y="2448560"/>
          <a:ext cx="23600410" cy="179705"/>
        </a:xfrm>
        <a:prstGeom prst="rightArrow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31</xdr:col>
      <xdr:colOff>33020</xdr:colOff>
      <xdr:row>11</xdr:row>
      <xdr:rowOff>76200</xdr:rowOff>
    </xdr:from>
    <xdr:to>
      <xdr:col>57</xdr:col>
      <xdr:colOff>17145</xdr:colOff>
      <xdr:row>11</xdr:row>
      <xdr:rowOff>281940</xdr:rowOff>
    </xdr:to>
    <xdr:sp>
      <xdr:nvSpPr>
        <xdr:cNvPr id="16" name="箭头: 右 3"/>
        <xdr:cNvSpPr/>
      </xdr:nvSpPr>
      <xdr:spPr>
        <a:xfrm>
          <a:off x="58066305" y="5130800"/>
          <a:ext cx="37998400" cy="205740"/>
        </a:xfrm>
        <a:prstGeom prst="rightArrow">
          <a:avLst/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182880</xdr:colOff>
      <xdr:row>3</xdr:row>
      <xdr:rowOff>31115</xdr:rowOff>
    </xdr:from>
    <xdr:to>
      <xdr:col>20</xdr:col>
      <xdr:colOff>3906520</xdr:colOff>
      <xdr:row>14</xdr:row>
      <xdr:rowOff>17780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52345" y="907415"/>
          <a:ext cx="3723640" cy="197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173990</xdr:colOff>
      <xdr:row>14</xdr:row>
      <xdr:rowOff>102870</xdr:rowOff>
    </xdr:from>
    <xdr:to>
      <xdr:col>20</xdr:col>
      <xdr:colOff>3935730</xdr:colOff>
      <xdr:row>25</xdr:row>
      <xdr:rowOff>113665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343455" y="2969895"/>
          <a:ext cx="3761740" cy="200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424815</xdr:colOff>
      <xdr:row>26</xdr:row>
      <xdr:rowOff>15240</xdr:rowOff>
    </xdr:from>
    <xdr:to>
      <xdr:col>20</xdr:col>
      <xdr:colOff>2493645</xdr:colOff>
      <xdr:row>32</xdr:row>
      <xdr:rowOff>34290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594280" y="5053965"/>
          <a:ext cx="20688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228600</xdr:colOff>
      <xdr:row>32</xdr:row>
      <xdr:rowOff>178435</xdr:rowOff>
    </xdr:from>
    <xdr:to>
      <xdr:col>20</xdr:col>
      <xdr:colOff>3824605</xdr:colOff>
      <xdr:row>43</xdr:row>
      <xdr:rowOff>106680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398065" y="6303010"/>
          <a:ext cx="3596005" cy="1918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227330</xdr:colOff>
      <xdr:row>45</xdr:row>
      <xdr:rowOff>166370</xdr:rowOff>
    </xdr:from>
    <xdr:to>
      <xdr:col>20</xdr:col>
      <xdr:colOff>3884295</xdr:colOff>
      <xdr:row>56</xdr:row>
      <xdr:rowOff>122555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396795" y="8643620"/>
          <a:ext cx="3656965" cy="1946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139700</xdr:colOff>
      <xdr:row>2</xdr:row>
      <xdr:rowOff>132715</xdr:rowOff>
    </xdr:from>
    <xdr:to>
      <xdr:col>47</xdr:col>
      <xdr:colOff>4838700</xdr:colOff>
      <xdr:row>5</xdr:row>
      <xdr:rowOff>539750</xdr:rowOff>
    </xdr:to>
    <xdr:graphicFrame>
      <xdr:nvGraphicFramePr>
        <xdr:cNvPr id="2" name="图表 1" descr="7b0a202020202263686172745265734964223a20223530303533343233220a7d0a"/>
        <xdr:cNvGraphicFramePr/>
      </xdr:nvGraphicFramePr>
      <xdr:xfrm>
        <a:off x="85615145" y="920115"/>
        <a:ext cx="4699000" cy="2312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139700</xdr:colOff>
      <xdr:row>2</xdr:row>
      <xdr:rowOff>107950</xdr:rowOff>
    </xdr:from>
    <xdr:to>
      <xdr:col>48</xdr:col>
      <xdr:colOff>4849495</xdr:colOff>
      <xdr:row>5</xdr:row>
      <xdr:rowOff>575945</xdr:rowOff>
    </xdr:to>
    <xdr:graphicFrame>
      <xdr:nvGraphicFramePr>
        <xdr:cNvPr id="3" name="图表 2" descr="7b0a202020202263686172745265734964223a20223530303533343233220a7d0a"/>
        <xdr:cNvGraphicFramePr/>
      </xdr:nvGraphicFramePr>
      <xdr:xfrm>
        <a:off x="95707835" y="895350"/>
        <a:ext cx="4709795" cy="2372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102870</xdr:colOff>
      <xdr:row>6</xdr:row>
      <xdr:rowOff>151765</xdr:rowOff>
    </xdr:from>
    <xdr:to>
      <xdr:col>47</xdr:col>
      <xdr:colOff>4801870</xdr:colOff>
      <xdr:row>9</xdr:row>
      <xdr:rowOff>482600</xdr:rowOff>
    </xdr:to>
    <xdr:graphicFrame>
      <xdr:nvGraphicFramePr>
        <xdr:cNvPr id="4" name="图表 3" descr="7b0a202020202263686172745265734964223a20223530303533343233220a7d0a"/>
        <xdr:cNvGraphicFramePr/>
      </xdr:nvGraphicFramePr>
      <xdr:xfrm>
        <a:off x="85578315" y="3479165"/>
        <a:ext cx="4699000" cy="2235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61595</xdr:colOff>
      <xdr:row>6</xdr:row>
      <xdr:rowOff>144145</xdr:rowOff>
    </xdr:from>
    <xdr:to>
      <xdr:col>48</xdr:col>
      <xdr:colOff>4825365</xdr:colOff>
      <xdr:row>9</xdr:row>
      <xdr:rowOff>432435</xdr:rowOff>
    </xdr:to>
    <xdr:graphicFrame>
      <xdr:nvGraphicFramePr>
        <xdr:cNvPr id="5" name="图表 4" descr="7b0a202020202263686172745265734964223a20223530303533343233220a7d0a"/>
        <xdr:cNvGraphicFramePr/>
      </xdr:nvGraphicFramePr>
      <xdr:xfrm>
        <a:off x="95629730" y="3471545"/>
        <a:ext cx="4763770" cy="219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126365</xdr:colOff>
      <xdr:row>10</xdr:row>
      <xdr:rowOff>143510</xdr:rowOff>
    </xdr:from>
    <xdr:to>
      <xdr:col>47</xdr:col>
      <xdr:colOff>4866005</xdr:colOff>
      <xdr:row>13</xdr:row>
      <xdr:rowOff>496570</xdr:rowOff>
    </xdr:to>
    <xdr:graphicFrame>
      <xdr:nvGraphicFramePr>
        <xdr:cNvPr id="6" name="图表 5" descr="7b0a202020202263686172745265734964223a20223530303533343233220a7d0a"/>
        <xdr:cNvGraphicFramePr/>
      </xdr:nvGraphicFramePr>
      <xdr:xfrm>
        <a:off x="85601810" y="6010910"/>
        <a:ext cx="4739640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149225</xdr:colOff>
      <xdr:row>10</xdr:row>
      <xdr:rowOff>122555</xdr:rowOff>
    </xdr:from>
    <xdr:to>
      <xdr:col>48</xdr:col>
      <xdr:colOff>4773930</xdr:colOff>
      <xdr:row>13</xdr:row>
      <xdr:rowOff>474345</xdr:rowOff>
    </xdr:to>
    <xdr:graphicFrame>
      <xdr:nvGraphicFramePr>
        <xdr:cNvPr id="7" name="图表 6" descr="7b0a202020202263686172745265734964223a20223530303533343233220a7d0a"/>
        <xdr:cNvGraphicFramePr/>
      </xdr:nvGraphicFramePr>
      <xdr:xfrm>
        <a:off x="95717360" y="5989955"/>
        <a:ext cx="4624705" cy="225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114300</xdr:colOff>
      <xdr:row>14</xdr:row>
      <xdr:rowOff>114300</xdr:rowOff>
    </xdr:from>
    <xdr:to>
      <xdr:col>47</xdr:col>
      <xdr:colOff>4878070</xdr:colOff>
      <xdr:row>17</xdr:row>
      <xdr:rowOff>546735</xdr:rowOff>
    </xdr:to>
    <xdr:graphicFrame>
      <xdr:nvGraphicFramePr>
        <xdr:cNvPr id="8" name="图表 7" descr="7b0a202020202263686172745265734964223a20223530303533343233220a7d0a"/>
        <xdr:cNvGraphicFramePr/>
      </xdr:nvGraphicFramePr>
      <xdr:xfrm>
        <a:off x="85589745" y="8521700"/>
        <a:ext cx="4763770" cy="233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142875</xdr:colOff>
      <xdr:row>14</xdr:row>
      <xdr:rowOff>139700</xdr:rowOff>
    </xdr:from>
    <xdr:to>
      <xdr:col>48</xdr:col>
      <xdr:colOff>4782185</xdr:colOff>
      <xdr:row>17</xdr:row>
      <xdr:rowOff>485775</xdr:rowOff>
    </xdr:to>
    <xdr:graphicFrame>
      <xdr:nvGraphicFramePr>
        <xdr:cNvPr id="9" name="图表 8" descr="7b0a202020202263686172745265734964223a20223530303533343233220a7d0a"/>
        <xdr:cNvGraphicFramePr/>
      </xdr:nvGraphicFramePr>
      <xdr:xfrm>
        <a:off x="95711010" y="8547100"/>
        <a:ext cx="4639310" cy="2251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95250</xdr:colOff>
      <xdr:row>18</xdr:row>
      <xdr:rowOff>76200</xdr:rowOff>
    </xdr:from>
    <xdr:to>
      <xdr:col>47</xdr:col>
      <xdr:colOff>4857750</xdr:colOff>
      <xdr:row>21</xdr:row>
      <xdr:rowOff>533400</xdr:rowOff>
    </xdr:to>
    <xdr:graphicFrame>
      <xdr:nvGraphicFramePr>
        <xdr:cNvPr id="10" name="图表 9" descr="7b0a202020202263686172745265734964223a20223530303533343233220a7d0a"/>
        <xdr:cNvGraphicFramePr/>
      </xdr:nvGraphicFramePr>
      <xdr:xfrm>
        <a:off x="85570695" y="11023600"/>
        <a:ext cx="476250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127000</xdr:colOff>
      <xdr:row>18</xdr:row>
      <xdr:rowOff>139700</xdr:rowOff>
    </xdr:from>
    <xdr:to>
      <xdr:col>48</xdr:col>
      <xdr:colOff>4860290</xdr:colOff>
      <xdr:row>21</xdr:row>
      <xdr:rowOff>549275</xdr:rowOff>
    </xdr:to>
    <xdr:graphicFrame>
      <xdr:nvGraphicFramePr>
        <xdr:cNvPr id="11" name="图表 10" descr="7b0a202020202263686172745265734964223a20223530303533343233220a7d0a"/>
        <xdr:cNvGraphicFramePr/>
      </xdr:nvGraphicFramePr>
      <xdr:xfrm>
        <a:off x="95695135" y="11087100"/>
        <a:ext cx="4733290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111125</xdr:colOff>
      <xdr:row>22</xdr:row>
      <xdr:rowOff>92075</xdr:rowOff>
    </xdr:from>
    <xdr:to>
      <xdr:col>48</xdr:col>
      <xdr:colOff>4857750</xdr:colOff>
      <xdr:row>25</xdr:row>
      <xdr:rowOff>549275</xdr:rowOff>
    </xdr:to>
    <xdr:graphicFrame>
      <xdr:nvGraphicFramePr>
        <xdr:cNvPr id="12" name="图表 11" descr="7b0a202020202263686172745265734964223a20223530303533343233220a7d0a"/>
        <xdr:cNvGraphicFramePr/>
      </xdr:nvGraphicFramePr>
      <xdr:xfrm>
        <a:off x="95679260" y="13579475"/>
        <a:ext cx="4746625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127000</xdr:colOff>
      <xdr:row>22</xdr:row>
      <xdr:rowOff>92075</xdr:rowOff>
    </xdr:from>
    <xdr:to>
      <xdr:col>47</xdr:col>
      <xdr:colOff>4924425</xdr:colOff>
      <xdr:row>25</xdr:row>
      <xdr:rowOff>517525</xdr:rowOff>
    </xdr:to>
    <xdr:graphicFrame>
      <xdr:nvGraphicFramePr>
        <xdr:cNvPr id="13" name="图表 12" descr="7b0a202020202263686172745265734964223a20223530303533343233220a7d0a"/>
        <xdr:cNvGraphicFramePr/>
      </xdr:nvGraphicFramePr>
      <xdr:xfrm>
        <a:off x="85602445" y="13579475"/>
        <a:ext cx="4797425" cy="233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120650</xdr:colOff>
      <xdr:row>26</xdr:row>
      <xdr:rowOff>104775</xdr:rowOff>
    </xdr:from>
    <xdr:to>
      <xdr:col>47</xdr:col>
      <xdr:colOff>4817745</xdr:colOff>
      <xdr:row>27</xdr:row>
      <xdr:rowOff>1193165</xdr:rowOff>
    </xdr:to>
    <xdr:graphicFrame>
      <xdr:nvGraphicFramePr>
        <xdr:cNvPr id="14" name="图表 13" descr="7b0a202020202263686172745265734964223a20223530303533343233220a7d0a"/>
        <xdr:cNvGraphicFramePr/>
      </xdr:nvGraphicFramePr>
      <xdr:xfrm>
        <a:off x="85596095" y="16132175"/>
        <a:ext cx="4697095" cy="2447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48</xdr:col>
      <xdr:colOff>127000</xdr:colOff>
      <xdr:row>26</xdr:row>
      <xdr:rowOff>146050</xdr:rowOff>
    </xdr:from>
    <xdr:to>
      <xdr:col>48</xdr:col>
      <xdr:colOff>4793615</xdr:colOff>
      <xdr:row>27</xdr:row>
      <xdr:rowOff>1251585</xdr:rowOff>
    </xdr:to>
    <xdr:graphicFrame>
      <xdr:nvGraphicFramePr>
        <xdr:cNvPr id="15" name="图表 14" descr="7b0a202020202263686172745265734964223a20223530303533343233220a7d0a"/>
        <xdr:cNvGraphicFramePr/>
      </xdr:nvGraphicFramePr>
      <xdr:xfrm>
        <a:off x="95695135" y="16173450"/>
        <a:ext cx="4666615" cy="2464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161290</xdr:colOff>
      <xdr:row>28</xdr:row>
      <xdr:rowOff>130175</xdr:rowOff>
    </xdr:from>
    <xdr:to>
      <xdr:col>47</xdr:col>
      <xdr:colOff>4781550</xdr:colOff>
      <xdr:row>29</xdr:row>
      <xdr:rowOff>1396365</xdr:rowOff>
    </xdr:to>
    <xdr:graphicFrame>
      <xdr:nvGraphicFramePr>
        <xdr:cNvPr id="16" name="图表 15" descr="7b0a202020202263686172745265734964223a20223530303533343233220a7d0a"/>
        <xdr:cNvGraphicFramePr/>
      </xdr:nvGraphicFramePr>
      <xdr:xfrm>
        <a:off x="85636735" y="18875375"/>
        <a:ext cx="462026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41275</xdr:colOff>
      <xdr:row>28</xdr:row>
      <xdr:rowOff>130175</xdr:rowOff>
    </xdr:from>
    <xdr:to>
      <xdr:col>48</xdr:col>
      <xdr:colOff>4835525</xdr:colOff>
      <xdr:row>29</xdr:row>
      <xdr:rowOff>1336675</xdr:rowOff>
    </xdr:to>
    <xdr:graphicFrame>
      <xdr:nvGraphicFramePr>
        <xdr:cNvPr id="17" name="图表 16" descr="7b0a202020202263686172745265734964223a20223530303533343233220a7d0a"/>
        <xdr:cNvGraphicFramePr/>
      </xdr:nvGraphicFramePr>
      <xdr:xfrm>
        <a:off x="95609410" y="18875375"/>
        <a:ext cx="4794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111125</xdr:colOff>
      <xdr:row>30</xdr:row>
      <xdr:rowOff>158750</xdr:rowOff>
    </xdr:from>
    <xdr:to>
      <xdr:col>47</xdr:col>
      <xdr:colOff>4826000</xdr:colOff>
      <xdr:row>31</xdr:row>
      <xdr:rowOff>1429385</xdr:rowOff>
    </xdr:to>
    <xdr:graphicFrame>
      <xdr:nvGraphicFramePr>
        <xdr:cNvPr id="18" name="图表 17" descr="7b0a202020202263686172745265734964223a20223530303533343233220a7d0a"/>
        <xdr:cNvGraphicFramePr/>
      </xdr:nvGraphicFramePr>
      <xdr:xfrm>
        <a:off x="85586570" y="21977350"/>
        <a:ext cx="4714875" cy="2807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48</xdr:col>
      <xdr:colOff>85725</xdr:colOff>
      <xdr:row>30</xdr:row>
      <xdr:rowOff>142875</xdr:rowOff>
    </xdr:from>
    <xdr:to>
      <xdr:col>48</xdr:col>
      <xdr:colOff>4829175</xdr:colOff>
      <xdr:row>31</xdr:row>
      <xdr:rowOff>1380490</xdr:rowOff>
    </xdr:to>
    <xdr:graphicFrame>
      <xdr:nvGraphicFramePr>
        <xdr:cNvPr id="19" name="图表 18" descr="7b0a202020202263686172745265734964223a20223530303533343233220a7d0a"/>
        <xdr:cNvGraphicFramePr/>
      </xdr:nvGraphicFramePr>
      <xdr:xfrm>
        <a:off x="95653860" y="21961475"/>
        <a:ext cx="4743450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47</xdr:col>
      <xdr:colOff>346075</xdr:colOff>
      <xdr:row>32</xdr:row>
      <xdr:rowOff>116840</xdr:rowOff>
    </xdr:from>
    <xdr:to>
      <xdr:col>47</xdr:col>
      <xdr:colOff>4841875</xdr:colOff>
      <xdr:row>35</xdr:row>
      <xdr:rowOff>558800</xdr:rowOff>
    </xdr:to>
    <xdr:graphicFrame>
      <xdr:nvGraphicFramePr>
        <xdr:cNvPr id="20" name="图表 19" descr="7b0a202020202263686172745265734964223a20223530303533343233220a7d0a"/>
        <xdr:cNvGraphicFramePr/>
      </xdr:nvGraphicFramePr>
      <xdr:xfrm>
        <a:off x="85821520" y="25008840"/>
        <a:ext cx="4495800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203200</xdr:colOff>
      <xdr:row>36</xdr:row>
      <xdr:rowOff>76200</xdr:rowOff>
    </xdr:from>
    <xdr:to>
      <xdr:col>47</xdr:col>
      <xdr:colOff>4762500</xdr:colOff>
      <xdr:row>39</xdr:row>
      <xdr:rowOff>549910</xdr:rowOff>
    </xdr:to>
    <xdr:graphicFrame>
      <xdr:nvGraphicFramePr>
        <xdr:cNvPr id="21" name="图表 20" descr="7b0a202020202263686172745265734964223a20223530303533343233220a7d0a"/>
        <xdr:cNvGraphicFramePr/>
      </xdr:nvGraphicFramePr>
      <xdr:xfrm>
        <a:off x="85678645" y="27508200"/>
        <a:ext cx="4559300" cy="2378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47</xdr:col>
      <xdr:colOff>266065</xdr:colOff>
      <xdr:row>40</xdr:row>
      <xdr:rowOff>149225</xdr:rowOff>
    </xdr:from>
    <xdr:to>
      <xdr:col>47</xdr:col>
      <xdr:colOff>4721860</xdr:colOff>
      <xdr:row>43</xdr:row>
      <xdr:rowOff>527685</xdr:rowOff>
    </xdr:to>
    <xdr:graphicFrame>
      <xdr:nvGraphicFramePr>
        <xdr:cNvPr id="22" name="图表 21" descr="7b0a202020202263686172745265734964223a20223530303533343233220a7d0a"/>
        <xdr:cNvGraphicFramePr/>
      </xdr:nvGraphicFramePr>
      <xdr:xfrm>
        <a:off x="85741510" y="30121225"/>
        <a:ext cx="4455795" cy="2283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48</xdr:col>
      <xdr:colOff>196850</xdr:colOff>
      <xdr:row>32</xdr:row>
      <xdr:rowOff>85725</xdr:rowOff>
    </xdr:from>
    <xdr:to>
      <xdr:col>48</xdr:col>
      <xdr:colOff>4789170</xdr:colOff>
      <xdr:row>35</xdr:row>
      <xdr:rowOff>479425</xdr:rowOff>
    </xdr:to>
    <xdr:graphicFrame>
      <xdr:nvGraphicFramePr>
        <xdr:cNvPr id="23" name="图表 22" descr="7b0a202020202263686172745265734964223a20223530303533343233220a7d0a"/>
        <xdr:cNvGraphicFramePr/>
      </xdr:nvGraphicFramePr>
      <xdr:xfrm>
        <a:off x="95764985" y="24977725"/>
        <a:ext cx="4592320" cy="2298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48</xdr:col>
      <xdr:colOff>212725</xdr:colOff>
      <xdr:row>36</xdr:row>
      <xdr:rowOff>117475</xdr:rowOff>
    </xdr:from>
    <xdr:to>
      <xdr:col>48</xdr:col>
      <xdr:colOff>4832350</xdr:colOff>
      <xdr:row>39</xdr:row>
      <xdr:rowOff>528320</xdr:rowOff>
    </xdr:to>
    <xdr:graphicFrame>
      <xdr:nvGraphicFramePr>
        <xdr:cNvPr id="24" name="图表 23" descr="7b0a202020202263686172745265734964223a20223530303533343233220a7d0a"/>
        <xdr:cNvGraphicFramePr/>
      </xdr:nvGraphicFramePr>
      <xdr:xfrm>
        <a:off x="95780860" y="27549475"/>
        <a:ext cx="4619625" cy="231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48</xdr:col>
      <xdr:colOff>276225</xdr:colOff>
      <xdr:row>40</xdr:row>
      <xdr:rowOff>149225</xdr:rowOff>
    </xdr:from>
    <xdr:to>
      <xdr:col>48</xdr:col>
      <xdr:colOff>4772660</xdr:colOff>
      <xdr:row>43</xdr:row>
      <xdr:rowOff>510540</xdr:rowOff>
    </xdr:to>
    <xdr:graphicFrame>
      <xdr:nvGraphicFramePr>
        <xdr:cNvPr id="25" name="图表 24" descr="7b0a202020202263686172745265734964223a20223530303533343233220a7d0a"/>
        <xdr:cNvGraphicFramePr/>
      </xdr:nvGraphicFramePr>
      <xdr:xfrm>
        <a:off x="95844360" y="30121225"/>
        <a:ext cx="4496435" cy="2266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49</xdr:col>
      <xdr:colOff>165735</xdr:colOff>
      <xdr:row>3</xdr:row>
      <xdr:rowOff>182880</xdr:rowOff>
    </xdr:from>
    <xdr:to>
      <xdr:col>49</xdr:col>
      <xdr:colOff>10280650</xdr:colOff>
      <xdr:row>11</xdr:row>
      <xdr:rowOff>485775</xdr:rowOff>
    </xdr:to>
    <xdr:pic>
      <xdr:nvPicPr>
        <xdr:cNvPr id="32" name="图片 3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5826560" y="1605280"/>
          <a:ext cx="10114915" cy="5382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49</xdr:col>
      <xdr:colOff>409575</xdr:colOff>
      <xdr:row>14</xdr:row>
      <xdr:rowOff>558800</xdr:rowOff>
    </xdr:from>
    <xdr:to>
      <xdr:col>49</xdr:col>
      <xdr:colOff>10835640</xdr:colOff>
      <xdr:row>23</xdr:row>
      <xdr:rowOff>393700</xdr:rowOff>
    </xdr:to>
    <xdr:pic>
      <xdr:nvPicPr>
        <xdr:cNvPr id="33" name="图片 3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6070400" y="8966200"/>
          <a:ext cx="10426065" cy="554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49</xdr:col>
      <xdr:colOff>302895</xdr:colOff>
      <xdr:row>26</xdr:row>
      <xdr:rowOff>330200</xdr:rowOff>
    </xdr:from>
    <xdr:to>
      <xdr:col>49</xdr:col>
      <xdr:colOff>10758805</xdr:colOff>
      <xdr:row>30</xdr:row>
      <xdr:rowOff>99695</xdr:rowOff>
    </xdr:to>
    <xdr:pic>
      <xdr:nvPicPr>
        <xdr:cNvPr id="34" name="图片 3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5963720" y="16357600"/>
          <a:ext cx="10455910" cy="556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49</xdr:col>
      <xdr:colOff>226695</xdr:colOff>
      <xdr:row>32</xdr:row>
      <xdr:rowOff>287020</xdr:rowOff>
    </xdr:from>
    <xdr:to>
      <xdr:col>49</xdr:col>
      <xdr:colOff>10568305</xdr:colOff>
      <xdr:row>41</xdr:row>
      <xdr:rowOff>76835</xdr:rowOff>
    </xdr:to>
    <xdr:pic>
      <xdr:nvPicPr>
        <xdr:cNvPr id="35" name="图片 3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5887520" y="25179020"/>
          <a:ext cx="10341610" cy="5504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49</xdr:col>
      <xdr:colOff>531495</xdr:colOff>
      <xdr:row>48</xdr:row>
      <xdr:rowOff>0</xdr:rowOff>
    </xdr:from>
    <xdr:to>
      <xdr:col>49</xdr:col>
      <xdr:colOff>10305415</xdr:colOff>
      <xdr:row>56</xdr:row>
      <xdr:rowOff>125095</xdr:rowOff>
    </xdr:to>
    <xdr:pic>
      <xdr:nvPicPr>
        <xdr:cNvPr id="36" name="图片 3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06192320" y="35052000"/>
          <a:ext cx="9773920" cy="5205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27</xdr:col>
      <xdr:colOff>111760</xdr:colOff>
      <xdr:row>2</xdr:row>
      <xdr:rowOff>129540</xdr:rowOff>
    </xdr:from>
    <xdr:to>
      <xdr:col>48</xdr:col>
      <xdr:colOff>438785</xdr:colOff>
      <xdr:row>2</xdr:row>
      <xdr:rowOff>309245</xdr:rowOff>
    </xdr:to>
    <xdr:sp>
      <xdr:nvSpPr>
        <xdr:cNvPr id="2" name="箭头: 右 1"/>
        <xdr:cNvSpPr/>
      </xdr:nvSpPr>
      <xdr:spPr>
        <a:xfrm>
          <a:off x="52049045" y="1107440"/>
          <a:ext cx="32214820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</xdr:col>
      <xdr:colOff>149225</xdr:colOff>
      <xdr:row>18</xdr:row>
      <xdr:rowOff>57150</xdr:rowOff>
    </xdr:from>
    <xdr:to>
      <xdr:col>2</xdr:col>
      <xdr:colOff>1477010</xdr:colOff>
      <xdr:row>18</xdr:row>
      <xdr:rowOff>236855</xdr:rowOff>
    </xdr:to>
    <xdr:sp>
      <xdr:nvSpPr>
        <xdr:cNvPr id="3" name="箭头: 右 47"/>
        <xdr:cNvSpPr/>
      </xdr:nvSpPr>
      <xdr:spPr>
        <a:xfrm>
          <a:off x="3578225" y="8223250"/>
          <a:ext cx="1327785" cy="179705"/>
        </a:xfrm>
        <a:prstGeom prst="rightArrow">
          <a:avLst>
            <a:gd name="adj1" fmla="val 58064"/>
            <a:gd name="adj2" fmla="val 50000"/>
          </a:avLst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</xdr:col>
      <xdr:colOff>137795</xdr:colOff>
      <xdr:row>19</xdr:row>
      <xdr:rowOff>68580</xdr:rowOff>
    </xdr:from>
    <xdr:to>
      <xdr:col>2</xdr:col>
      <xdr:colOff>1465580</xdr:colOff>
      <xdr:row>19</xdr:row>
      <xdr:rowOff>248285</xdr:rowOff>
    </xdr:to>
    <xdr:sp>
      <xdr:nvSpPr>
        <xdr:cNvPr id="4" name="箭头: 右 48"/>
        <xdr:cNvSpPr/>
      </xdr:nvSpPr>
      <xdr:spPr>
        <a:xfrm>
          <a:off x="3566795" y="8679180"/>
          <a:ext cx="1327785" cy="179705"/>
        </a:xfrm>
        <a:prstGeom prst="rightArrow">
          <a:avLst>
            <a:gd name="adj1" fmla="val 58064"/>
            <a:gd name="adj2" fmla="val 5000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11</xdr:col>
      <xdr:colOff>208280</xdr:colOff>
      <xdr:row>6</xdr:row>
      <xdr:rowOff>106045</xdr:rowOff>
    </xdr:from>
    <xdr:to>
      <xdr:col>15</xdr:col>
      <xdr:colOff>326390</xdr:colOff>
      <xdr:row>6</xdr:row>
      <xdr:rowOff>285750</xdr:rowOff>
    </xdr:to>
    <xdr:sp>
      <xdr:nvSpPr>
        <xdr:cNvPr id="5" name="箭头: 右 3"/>
        <xdr:cNvSpPr/>
      </xdr:nvSpPr>
      <xdr:spPr>
        <a:xfrm>
          <a:off x="29087445" y="2938145"/>
          <a:ext cx="5970270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11</xdr:col>
      <xdr:colOff>303530</xdr:colOff>
      <xdr:row>8</xdr:row>
      <xdr:rowOff>121920</xdr:rowOff>
    </xdr:from>
    <xdr:to>
      <xdr:col>15</xdr:col>
      <xdr:colOff>285115</xdr:colOff>
      <xdr:row>8</xdr:row>
      <xdr:rowOff>282575</xdr:rowOff>
    </xdr:to>
    <xdr:sp>
      <xdr:nvSpPr>
        <xdr:cNvPr id="6" name="箭头: 右 3"/>
        <xdr:cNvSpPr/>
      </xdr:nvSpPr>
      <xdr:spPr>
        <a:xfrm>
          <a:off x="29182695" y="3843020"/>
          <a:ext cx="5833745" cy="16065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116205</xdr:colOff>
      <xdr:row>4</xdr:row>
      <xdr:rowOff>60960</xdr:rowOff>
    </xdr:from>
    <xdr:to>
      <xdr:col>41</xdr:col>
      <xdr:colOff>650875</xdr:colOff>
      <xdr:row>4</xdr:row>
      <xdr:rowOff>240665</xdr:rowOff>
    </xdr:to>
    <xdr:sp>
      <xdr:nvSpPr>
        <xdr:cNvPr id="7" name="箭头: 右 7"/>
        <xdr:cNvSpPr/>
      </xdr:nvSpPr>
      <xdr:spPr>
        <a:xfrm>
          <a:off x="52053490" y="1927860"/>
          <a:ext cx="22394545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109220</xdr:colOff>
      <xdr:row>10</xdr:row>
      <xdr:rowOff>88900</xdr:rowOff>
    </xdr:from>
    <xdr:to>
      <xdr:col>52</xdr:col>
      <xdr:colOff>415290</xdr:colOff>
      <xdr:row>10</xdr:row>
      <xdr:rowOff>294640</xdr:rowOff>
    </xdr:to>
    <xdr:sp>
      <xdr:nvSpPr>
        <xdr:cNvPr id="8" name="箭头: 右 3"/>
        <xdr:cNvSpPr/>
      </xdr:nvSpPr>
      <xdr:spPr>
        <a:xfrm>
          <a:off x="52046505" y="4699000"/>
          <a:ext cx="37649785" cy="205740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121920</xdr:colOff>
      <xdr:row>14</xdr:row>
      <xdr:rowOff>88900</xdr:rowOff>
    </xdr:from>
    <xdr:to>
      <xdr:col>39</xdr:col>
      <xdr:colOff>492760</xdr:colOff>
      <xdr:row>14</xdr:row>
      <xdr:rowOff>294005</xdr:rowOff>
    </xdr:to>
    <xdr:sp>
      <xdr:nvSpPr>
        <xdr:cNvPr id="9" name="箭头: 右 7"/>
        <xdr:cNvSpPr/>
      </xdr:nvSpPr>
      <xdr:spPr>
        <a:xfrm>
          <a:off x="52059205" y="6477000"/>
          <a:ext cx="19182715" cy="2051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13</xdr:col>
      <xdr:colOff>74930</xdr:colOff>
      <xdr:row>12</xdr:row>
      <xdr:rowOff>83820</xdr:rowOff>
    </xdr:from>
    <xdr:to>
      <xdr:col>13</xdr:col>
      <xdr:colOff>636905</xdr:colOff>
      <xdr:row>12</xdr:row>
      <xdr:rowOff>269240</xdr:rowOff>
    </xdr:to>
    <xdr:sp>
      <xdr:nvSpPr>
        <xdr:cNvPr id="10" name="箭头: 右 3"/>
        <xdr:cNvSpPr/>
      </xdr:nvSpPr>
      <xdr:spPr>
        <a:xfrm>
          <a:off x="32002095" y="5582920"/>
          <a:ext cx="561975" cy="185420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27</xdr:col>
      <xdr:colOff>111760</xdr:colOff>
      <xdr:row>2</xdr:row>
      <xdr:rowOff>129540</xdr:rowOff>
    </xdr:from>
    <xdr:to>
      <xdr:col>48</xdr:col>
      <xdr:colOff>438785</xdr:colOff>
      <xdr:row>2</xdr:row>
      <xdr:rowOff>309245</xdr:rowOff>
    </xdr:to>
    <xdr:sp>
      <xdr:nvSpPr>
        <xdr:cNvPr id="2" name="箭头: 右 1"/>
        <xdr:cNvSpPr/>
      </xdr:nvSpPr>
      <xdr:spPr>
        <a:xfrm>
          <a:off x="52546885" y="1107440"/>
          <a:ext cx="31690945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</xdr:col>
      <xdr:colOff>149225</xdr:colOff>
      <xdr:row>15</xdr:row>
      <xdr:rowOff>57150</xdr:rowOff>
    </xdr:from>
    <xdr:to>
      <xdr:col>2</xdr:col>
      <xdr:colOff>1477010</xdr:colOff>
      <xdr:row>15</xdr:row>
      <xdr:rowOff>236855</xdr:rowOff>
    </xdr:to>
    <xdr:sp>
      <xdr:nvSpPr>
        <xdr:cNvPr id="5" name="箭头: 右 47"/>
        <xdr:cNvSpPr/>
      </xdr:nvSpPr>
      <xdr:spPr>
        <a:xfrm>
          <a:off x="3578225" y="6889750"/>
          <a:ext cx="1327785" cy="179705"/>
        </a:xfrm>
        <a:prstGeom prst="rightArrow">
          <a:avLst>
            <a:gd name="adj1" fmla="val 58064"/>
            <a:gd name="adj2" fmla="val 50000"/>
          </a:avLst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</xdr:col>
      <xdr:colOff>137795</xdr:colOff>
      <xdr:row>16</xdr:row>
      <xdr:rowOff>68580</xdr:rowOff>
    </xdr:from>
    <xdr:to>
      <xdr:col>2</xdr:col>
      <xdr:colOff>1465580</xdr:colOff>
      <xdr:row>16</xdr:row>
      <xdr:rowOff>248285</xdr:rowOff>
    </xdr:to>
    <xdr:sp>
      <xdr:nvSpPr>
        <xdr:cNvPr id="6" name="箭头: 右 48"/>
        <xdr:cNvSpPr/>
      </xdr:nvSpPr>
      <xdr:spPr>
        <a:xfrm>
          <a:off x="3566795" y="7345680"/>
          <a:ext cx="1327785" cy="179705"/>
        </a:xfrm>
        <a:prstGeom prst="rightArrow">
          <a:avLst>
            <a:gd name="adj1" fmla="val 58064"/>
            <a:gd name="adj2" fmla="val 5000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11</xdr:col>
      <xdr:colOff>208280</xdr:colOff>
      <xdr:row>6</xdr:row>
      <xdr:rowOff>106045</xdr:rowOff>
    </xdr:from>
    <xdr:to>
      <xdr:col>15</xdr:col>
      <xdr:colOff>326390</xdr:colOff>
      <xdr:row>6</xdr:row>
      <xdr:rowOff>285750</xdr:rowOff>
    </xdr:to>
    <xdr:sp>
      <xdr:nvSpPr>
        <xdr:cNvPr id="9" name="箭头: 右 3"/>
        <xdr:cNvSpPr/>
      </xdr:nvSpPr>
      <xdr:spPr>
        <a:xfrm>
          <a:off x="29585285" y="2938145"/>
          <a:ext cx="5970270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11</xdr:col>
      <xdr:colOff>303530</xdr:colOff>
      <xdr:row>8</xdr:row>
      <xdr:rowOff>121920</xdr:rowOff>
    </xdr:from>
    <xdr:to>
      <xdr:col>15</xdr:col>
      <xdr:colOff>285115</xdr:colOff>
      <xdr:row>8</xdr:row>
      <xdr:rowOff>282575</xdr:rowOff>
    </xdr:to>
    <xdr:sp>
      <xdr:nvSpPr>
        <xdr:cNvPr id="10" name="箭头: 右 3"/>
        <xdr:cNvSpPr/>
      </xdr:nvSpPr>
      <xdr:spPr>
        <a:xfrm>
          <a:off x="29680535" y="3843020"/>
          <a:ext cx="5833745" cy="16065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  <xdr:twoCellAnchor>
    <xdr:from>
      <xdr:col>27</xdr:col>
      <xdr:colOff>116205</xdr:colOff>
      <xdr:row>4</xdr:row>
      <xdr:rowOff>60960</xdr:rowOff>
    </xdr:from>
    <xdr:to>
      <xdr:col>41</xdr:col>
      <xdr:colOff>650875</xdr:colOff>
      <xdr:row>4</xdr:row>
      <xdr:rowOff>240665</xdr:rowOff>
    </xdr:to>
    <xdr:sp>
      <xdr:nvSpPr>
        <xdr:cNvPr id="18" name="箭头: 右 7"/>
        <xdr:cNvSpPr/>
      </xdr:nvSpPr>
      <xdr:spPr>
        <a:xfrm>
          <a:off x="52551330" y="1927860"/>
          <a:ext cx="21870670" cy="17970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139700</xdr:colOff>
      <xdr:row>2</xdr:row>
      <xdr:rowOff>132715</xdr:rowOff>
    </xdr:from>
    <xdr:to>
      <xdr:col>47</xdr:col>
      <xdr:colOff>4838700</xdr:colOff>
      <xdr:row>5</xdr:row>
      <xdr:rowOff>539750</xdr:rowOff>
    </xdr:to>
    <xdr:graphicFrame>
      <xdr:nvGraphicFramePr>
        <xdr:cNvPr id="2" name="图表 1" descr="7b0a202020202263686172745265734964223a20223530303533343233220a7d0a"/>
        <xdr:cNvGraphicFramePr/>
      </xdr:nvGraphicFramePr>
      <xdr:xfrm>
        <a:off x="84916645" y="920115"/>
        <a:ext cx="4699000" cy="2312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139700</xdr:colOff>
      <xdr:row>2</xdr:row>
      <xdr:rowOff>107950</xdr:rowOff>
    </xdr:from>
    <xdr:to>
      <xdr:col>48</xdr:col>
      <xdr:colOff>4849495</xdr:colOff>
      <xdr:row>5</xdr:row>
      <xdr:rowOff>575945</xdr:rowOff>
    </xdr:to>
    <xdr:graphicFrame>
      <xdr:nvGraphicFramePr>
        <xdr:cNvPr id="3" name="图表 2" descr="7b0a202020202263686172745265734964223a20223530303533343233220a7d0a"/>
        <xdr:cNvGraphicFramePr/>
      </xdr:nvGraphicFramePr>
      <xdr:xfrm>
        <a:off x="95009335" y="895350"/>
        <a:ext cx="4709795" cy="2372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102870</xdr:colOff>
      <xdr:row>6</xdr:row>
      <xdr:rowOff>151765</xdr:rowOff>
    </xdr:from>
    <xdr:to>
      <xdr:col>47</xdr:col>
      <xdr:colOff>4801870</xdr:colOff>
      <xdr:row>9</xdr:row>
      <xdr:rowOff>482600</xdr:rowOff>
    </xdr:to>
    <xdr:graphicFrame>
      <xdr:nvGraphicFramePr>
        <xdr:cNvPr id="4" name="图表 3" descr="7b0a202020202263686172745265734964223a20223530303533343233220a7d0a"/>
        <xdr:cNvGraphicFramePr/>
      </xdr:nvGraphicFramePr>
      <xdr:xfrm>
        <a:off x="84879815" y="3479165"/>
        <a:ext cx="4699000" cy="2235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61595</xdr:colOff>
      <xdr:row>6</xdr:row>
      <xdr:rowOff>144145</xdr:rowOff>
    </xdr:from>
    <xdr:to>
      <xdr:col>48</xdr:col>
      <xdr:colOff>4825365</xdr:colOff>
      <xdr:row>9</xdr:row>
      <xdr:rowOff>432435</xdr:rowOff>
    </xdr:to>
    <xdr:graphicFrame>
      <xdr:nvGraphicFramePr>
        <xdr:cNvPr id="5" name="图表 4" descr="7b0a202020202263686172745265734964223a20223530303533343233220a7d0a"/>
        <xdr:cNvGraphicFramePr/>
      </xdr:nvGraphicFramePr>
      <xdr:xfrm>
        <a:off x="94931230" y="3471545"/>
        <a:ext cx="4763770" cy="219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126365</xdr:colOff>
      <xdr:row>10</xdr:row>
      <xdr:rowOff>143510</xdr:rowOff>
    </xdr:from>
    <xdr:to>
      <xdr:col>47</xdr:col>
      <xdr:colOff>4866005</xdr:colOff>
      <xdr:row>13</xdr:row>
      <xdr:rowOff>496570</xdr:rowOff>
    </xdr:to>
    <xdr:graphicFrame>
      <xdr:nvGraphicFramePr>
        <xdr:cNvPr id="6" name="图表 5" descr="7b0a202020202263686172745265734964223a20223530303533343233220a7d0a"/>
        <xdr:cNvGraphicFramePr/>
      </xdr:nvGraphicFramePr>
      <xdr:xfrm>
        <a:off x="84903310" y="6010910"/>
        <a:ext cx="4739640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149225</xdr:colOff>
      <xdr:row>10</xdr:row>
      <xdr:rowOff>122555</xdr:rowOff>
    </xdr:from>
    <xdr:to>
      <xdr:col>48</xdr:col>
      <xdr:colOff>4773930</xdr:colOff>
      <xdr:row>13</xdr:row>
      <xdr:rowOff>474345</xdr:rowOff>
    </xdr:to>
    <xdr:graphicFrame>
      <xdr:nvGraphicFramePr>
        <xdr:cNvPr id="7" name="图表 6" descr="7b0a202020202263686172745265734964223a20223530303533343233220a7d0a"/>
        <xdr:cNvGraphicFramePr/>
      </xdr:nvGraphicFramePr>
      <xdr:xfrm>
        <a:off x="95018860" y="5989955"/>
        <a:ext cx="4624705" cy="225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114300</xdr:colOff>
      <xdr:row>14</xdr:row>
      <xdr:rowOff>114300</xdr:rowOff>
    </xdr:from>
    <xdr:to>
      <xdr:col>47</xdr:col>
      <xdr:colOff>4878070</xdr:colOff>
      <xdr:row>17</xdr:row>
      <xdr:rowOff>546735</xdr:rowOff>
    </xdr:to>
    <xdr:graphicFrame>
      <xdr:nvGraphicFramePr>
        <xdr:cNvPr id="13" name="图表 12" descr="7b0a202020202263686172745265734964223a20223530303533343233220a7d0a"/>
        <xdr:cNvGraphicFramePr/>
      </xdr:nvGraphicFramePr>
      <xdr:xfrm>
        <a:off x="84891245" y="8521700"/>
        <a:ext cx="4763770" cy="233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142875</xdr:colOff>
      <xdr:row>14</xdr:row>
      <xdr:rowOff>139700</xdr:rowOff>
    </xdr:from>
    <xdr:to>
      <xdr:col>48</xdr:col>
      <xdr:colOff>4782185</xdr:colOff>
      <xdr:row>17</xdr:row>
      <xdr:rowOff>485775</xdr:rowOff>
    </xdr:to>
    <xdr:graphicFrame>
      <xdr:nvGraphicFramePr>
        <xdr:cNvPr id="14" name="图表 13" descr="7b0a202020202263686172745265734964223a20223530303533343233220a7d0a"/>
        <xdr:cNvGraphicFramePr/>
      </xdr:nvGraphicFramePr>
      <xdr:xfrm>
        <a:off x="95012510" y="8547100"/>
        <a:ext cx="4639310" cy="2251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95250</xdr:colOff>
      <xdr:row>18</xdr:row>
      <xdr:rowOff>76200</xdr:rowOff>
    </xdr:from>
    <xdr:to>
      <xdr:col>47</xdr:col>
      <xdr:colOff>4857750</xdr:colOff>
      <xdr:row>21</xdr:row>
      <xdr:rowOff>533400</xdr:rowOff>
    </xdr:to>
    <xdr:graphicFrame>
      <xdr:nvGraphicFramePr>
        <xdr:cNvPr id="15" name="图表 14" descr="7b0a202020202263686172745265734964223a20223530303533343233220a7d0a"/>
        <xdr:cNvGraphicFramePr/>
      </xdr:nvGraphicFramePr>
      <xdr:xfrm>
        <a:off x="84872195" y="11023600"/>
        <a:ext cx="476250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127000</xdr:colOff>
      <xdr:row>18</xdr:row>
      <xdr:rowOff>139700</xdr:rowOff>
    </xdr:from>
    <xdr:to>
      <xdr:col>48</xdr:col>
      <xdr:colOff>4860290</xdr:colOff>
      <xdr:row>21</xdr:row>
      <xdr:rowOff>549275</xdr:rowOff>
    </xdr:to>
    <xdr:graphicFrame>
      <xdr:nvGraphicFramePr>
        <xdr:cNvPr id="16" name="图表 15" descr="7b0a202020202263686172745265734964223a20223530303533343233220a7d0a"/>
        <xdr:cNvGraphicFramePr/>
      </xdr:nvGraphicFramePr>
      <xdr:xfrm>
        <a:off x="94996635" y="11087100"/>
        <a:ext cx="4733290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111125</xdr:colOff>
      <xdr:row>22</xdr:row>
      <xdr:rowOff>92075</xdr:rowOff>
    </xdr:from>
    <xdr:to>
      <xdr:col>48</xdr:col>
      <xdr:colOff>4857750</xdr:colOff>
      <xdr:row>25</xdr:row>
      <xdr:rowOff>549275</xdr:rowOff>
    </xdr:to>
    <xdr:graphicFrame>
      <xdr:nvGraphicFramePr>
        <xdr:cNvPr id="17" name="图表 16" descr="7b0a202020202263686172745265734964223a20223530303533343233220a7d0a"/>
        <xdr:cNvGraphicFramePr/>
      </xdr:nvGraphicFramePr>
      <xdr:xfrm>
        <a:off x="94980760" y="13579475"/>
        <a:ext cx="4746625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127000</xdr:colOff>
      <xdr:row>22</xdr:row>
      <xdr:rowOff>92075</xdr:rowOff>
    </xdr:from>
    <xdr:to>
      <xdr:col>47</xdr:col>
      <xdr:colOff>4924425</xdr:colOff>
      <xdr:row>25</xdr:row>
      <xdr:rowOff>517525</xdr:rowOff>
    </xdr:to>
    <xdr:graphicFrame>
      <xdr:nvGraphicFramePr>
        <xdr:cNvPr id="18" name="图表 17" descr="7b0a202020202263686172745265734964223a20223530303533343233220a7d0a"/>
        <xdr:cNvGraphicFramePr/>
      </xdr:nvGraphicFramePr>
      <xdr:xfrm>
        <a:off x="84903945" y="13579475"/>
        <a:ext cx="4797425" cy="233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120650</xdr:colOff>
      <xdr:row>26</xdr:row>
      <xdr:rowOff>104775</xdr:rowOff>
    </xdr:from>
    <xdr:to>
      <xdr:col>47</xdr:col>
      <xdr:colOff>4817745</xdr:colOff>
      <xdr:row>27</xdr:row>
      <xdr:rowOff>1193165</xdr:rowOff>
    </xdr:to>
    <xdr:graphicFrame>
      <xdr:nvGraphicFramePr>
        <xdr:cNvPr id="20" name="图表 19" descr="7b0a202020202263686172745265734964223a20223530303533343233220a7d0a"/>
        <xdr:cNvGraphicFramePr/>
      </xdr:nvGraphicFramePr>
      <xdr:xfrm>
        <a:off x="84897595" y="16132175"/>
        <a:ext cx="4697095" cy="2447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48</xdr:col>
      <xdr:colOff>127000</xdr:colOff>
      <xdr:row>26</xdr:row>
      <xdr:rowOff>146050</xdr:rowOff>
    </xdr:from>
    <xdr:to>
      <xdr:col>48</xdr:col>
      <xdr:colOff>4793615</xdr:colOff>
      <xdr:row>27</xdr:row>
      <xdr:rowOff>1251585</xdr:rowOff>
    </xdr:to>
    <xdr:graphicFrame>
      <xdr:nvGraphicFramePr>
        <xdr:cNvPr id="21" name="图表 20" descr="7b0a202020202263686172745265734964223a20223530303533343233220a7d0a"/>
        <xdr:cNvGraphicFramePr/>
      </xdr:nvGraphicFramePr>
      <xdr:xfrm>
        <a:off x="94996635" y="16173450"/>
        <a:ext cx="4666615" cy="2464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161290</xdr:colOff>
      <xdr:row>28</xdr:row>
      <xdr:rowOff>130175</xdr:rowOff>
    </xdr:from>
    <xdr:to>
      <xdr:col>47</xdr:col>
      <xdr:colOff>4781550</xdr:colOff>
      <xdr:row>29</xdr:row>
      <xdr:rowOff>1396365</xdr:rowOff>
    </xdr:to>
    <xdr:graphicFrame>
      <xdr:nvGraphicFramePr>
        <xdr:cNvPr id="22" name="图表 21" descr="7b0a202020202263686172745265734964223a20223530303533343233220a7d0a"/>
        <xdr:cNvGraphicFramePr/>
      </xdr:nvGraphicFramePr>
      <xdr:xfrm>
        <a:off x="84938235" y="18875375"/>
        <a:ext cx="462026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41275</xdr:colOff>
      <xdr:row>28</xdr:row>
      <xdr:rowOff>130175</xdr:rowOff>
    </xdr:from>
    <xdr:to>
      <xdr:col>48</xdr:col>
      <xdr:colOff>4835525</xdr:colOff>
      <xdr:row>29</xdr:row>
      <xdr:rowOff>1336675</xdr:rowOff>
    </xdr:to>
    <xdr:graphicFrame>
      <xdr:nvGraphicFramePr>
        <xdr:cNvPr id="23" name="图表 22" descr="7b0a202020202263686172745265734964223a20223530303533343233220a7d0a"/>
        <xdr:cNvGraphicFramePr/>
      </xdr:nvGraphicFramePr>
      <xdr:xfrm>
        <a:off x="94910910" y="18875375"/>
        <a:ext cx="4794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111125</xdr:colOff>
      <xdr:row>30</xdr:row>
      <xdr:rowOff>158750</xdr:rowOff>
    </xdr:from>
    <xdr:to>
      <xdr:col>47</xdr:col>
      <xdr:colOff>4826000</xdr:colOff>
      <xdr:row>31</xdr:row>
      <xdr:rowOff>1429385</xdr:rowOff>
    </xdr:to>
    <xdr:graphicFrame>
      <xdr:nvGraphicFramePr>
        <xdr:cNvPr id="24" name="图表 23" descr="7b0a202020202263686172745265734964223a20223530303533343233220a7d0a"/>
        <xdr:cNvGraphicFramePr/>
      </xdr:nvGraphicFramePr>
      <xdr:xfrm>
        <a:off x="84888070" y="21977350"/>
        <a:ext cx="4714875" cy="2807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48</xdr:col>
      <xdr:colOff>85725</xdr:colOff>
      <xdr:row>30</xdr:row>
      <xdr:rowOff>142875</xdr:rowOff>
    </xdr:from>
    <xdr:to>
      <xdr:col>48</xdr:col>
      <xdr:colOff>4829175</xdr:colOff>
      <xdr:row>31</xdr:row>
      <xdr:rowOff>1380490</xdr:rowOff>
    </xdr:to>
    <xdr:graphicFrame>
      <xdr:nvGraphicFramePr>
        <xdr:cNvPr id="25" name="图表 24" descr="7b0a202020202263686172745265734964223a20223530303533343233220a7d0a"/>
        <xdr:cNvGraphicFramePr/>
      </xdr:nvGraphicFramePr>
      <xdr:xfrm>
        <a:off x="94955360" y="21961475"/>
        <a:ext cx="4743450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47</xdr:col>
      <xdr:colOff>346075</xdr:colOff>
      <xdr:row>32</xdr:row>
      <xdr:rowOff>116840</xdr:rowOff>
    </xdr:from>
    <xdr:to>
      <xdr:col>47</xdr:col>
      <xdr:colOff>4841875</xdr:colOff>
      <xdr:row>35</xdr:row>
      <xdr:rowOff>558800</xdr:rowOff>
    </xdr:to>
    <xdr:graphicFrame>
      <xdr:nvGraphicFramePr>
        <xdr:cNvPr id="28" name="图表 27" descr="7b0a202020202263686172745265734964223a20223530303533343233220a7d0a"/>
        <xdr:cNvGraphicFramePr/>
      </xdr:nvGraphicFramePr>
      <xdr:xfrm>
        <a:off x="85123020" y="25008840"/>
        <a:ext cx="4495800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203200</xdr:colOff>
      <xdr:row>36</xdr:row>
      <xdr:rowOff>76200</xdr:rowOff>
    </xdr:from>
    <xdr:to>
      <xdr:col>47</xdr:col>
      <xdr:colOff>4762500</xdr:colOff>
      <xdr:row>39</xdr:row>
      <xdr:rowOff>549910</xdr:rowOff>
    </xdr:to>
    <xdr:graphicFrame>
      <xdr:nvGraphicFramePr>
        <xdr:cNvPr id="29" name="图表 28" descr="7b0a202020202263686172745265734964223a20223530303533343233220a7d0a"/>
        <xdr:cNvGraphicFramePr/>
      </xdr:nvGraphicFramePr>
      <xdr:xfrm>
        <a:off x="84980145" y="27508200"/>
        <a:ext cx="4559300" cy="2378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47</xdr:col>
      <xdr:colOff>266065</xdr:colOff>
      <xdr:row>40</xdr:row>
      <xdr:rowOff>149225</xdr:rowOff>
    </xdr:from>
    <xdr:to>
      <xdr:col>47</xdr:col>
      <xdr:colOff>4721860</xdr:colOff>
      <xdr:row>43</xdr:row>
      <xdr:rowOff>527685</xdr:rowOff>
    </xdr:to>
    <xdr:graphicFrame>
      <xdr:nvGraphicFramePr>
        <xdr:cNvPr id="30" name="图表 29" descr="7b0a202020202263686172745265734964223a20223530303533343233220a7d0a"/>
        <xdr:cNvGraphicFramePr/>
      </xdr:nvGraphicFramePr>
      <xdr:xfrm>
        <a:off x="85043010" y="30121225"/>
        <a:ext cx="4455795" cy="2283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48</xdr:col>
      <xdr:colOff>196850</xdr:colOff>
      <xdr:row>32</xdr:row>
      <xdr:rowOff>85725</xdr:rowOff>
    </xdr:from>
    <xdr:to>
      <xdr:col>48</xdr:col>
      <xdr:colOff>4789170</xdr:colOff>
      <xdr:row>35</xdr:row>
      <xdr:rowOff>479425</xdr:rowOff>
    </xdr:to>
    <xdr:graphicFrame>
      <xdr:nvGraphicFramePr>
        <xdr:cNvPr id="31" name="图表 30" descr="7b0a202020202263686172745265734964223a20223530303533343233220a7d0a"/>
        <xdr:cNvGraphicFramePr/>
      </xdr:nvGraphicFramePr>
      <xdr:xfrm>
        <a:off x="95066485" y="24977725"/>
        <a:ext cx="4592320" cy="2298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48</xdr:col>
      <xdr:colOff>212725</xdr:colOff>
      <xdr:row>36</xdr:row>
      <xdr:rowOff>117475</xdr:rowOff>
    </xdr:from>
    <xdr:to>
      <xdr:col>48</xdr:col>
      <xdr:colOff>4832350</xdr:colOff>
      <xdr:row>39</xdr:row>
      <xdr:rowOff>528320</xdr:rowOff>
    </xdr:to>
    <xdr:graphicFrame>
      <xdr:nvGraphicFramePr>
        <xdr:cNvPr id="32" name="图表 31" descr="7b0a202020202263686172745265734964223a20223530303533343233220a7d0a"/>
        <xdr:cNvGraphicFramePr/>
      </xdr:nvGraphicFramePr>
      <xdr:xfrm>
        <a:off x="95082360" y="27549475"/>
        <a:ext cx="4619625" cy="231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48</xdr:col>
      <xdr:colOff>276225</xdr:colOff>
      <xdr:row>40</xdr:row>
      <xdr:rowOff>149225</xdr:rowOff>
    </xdr:from>
    <xdr:to>
      <xdr:col>48</xdr:col>
      <xdr:colOff>4772660</xdr:colOff>
      <xdr:row>43</xdr:row>
      <xdr:rowOff>510540</xdr:rowOff>
    </xdr:to>
    <xdr:graphicFrame>
      <xdr:nvGraphicFramePr>
        <xdr:cNvPr id="33" name="图表 32" descr="7b0a202020202263686172745265734964223a20223530303533343233220a7d0a"/>
        <xdr:cNvGraphicFramePr/>
      </xdr:nvGraphicFramePr>
      <xdr:xfrm>
        <a:off x="95145860" y="30121225"/>
        <a:ext cx="4496435" cy="2266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139700</xdr:colOff>
      <xdr:row>2</xdr:row>
      <xdr:rowOff>132715</xdr:rowOff>
    </xdr:from>
    <xdr:to>
      <xdr:col>47</xdr:col>
      <xdr:colOff>4838700</xdr:colOff>
      <xdr:row>5</xdr:row>
      <xdr:rowOff>539750</xdr:rowOff>
    </xdr:to>
    <xdr:graphicFrame>
      <xdr:nvGraphicFramePr>
        <xdr:cNvPr id="2" name="图表 1" descr="7b0a202020202263686172745265734964223a20223530303533343233220a7d0a"/>
        <xdr:cNvGraphicFramePr/>
      </xdr:nvGraphicFramePr>
      <xdr:xfrm>
        <a:off x="84916645" y="920115"/>
        <a:ext cx="4699000" cy="2312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139700</xdr:colOff>
      <xdr:row>2</xdr:row>
      <xdr:rowOff>107950</xdr:rowOff>
    </xdr:from>
    <xdr:to>
      <xdr:col>48</xdr:col>
      <xdr:colOff>4849495</xdr:colOff>
      <xdr:row>5</xdr:row>
      <xdr:rowOff>575945</xdr:rowOff>
    </xdr:to>
    <xdr:graphicFrame>
      <xdr:nvGraphicFramePr>
        <xdr:cNvPr id="3" name="图表 2" descr="7b0a202020202263686172745265734964223a20223530303533343233220a7d0a"/>
        <xdr:cNvGraphicFramePr/>
      </xdr:nvGraphicFramePr>
      <xdr:xfrm>
        <a:off x="95009335" y="895350"/>
        <a:ext cx="4709795" cy="2372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102870</xdr:colOff>
      <xdr:row>6</xdr:row>
      <xdr:rowOff>151765</xdr:rowOff>
    </xdr:from>
    <xdr:to>
      <xdr:col>47</xdr:col>
      <xdr:colOff>4801870</xdr:colOff>
      <xdr:row>9</xdr:row>
      <xdr:rowOff>482600</xdr:rowOff>
    </xdr:to>
    <xdr:graphicFrame>
      <xdr:nvGraphicFramePr>
        <xdr:cNvPr id="4" name="图表 3" descr="7b0a202020202263686172745265734964223a20223530303533343233220a7d0a"/>
        <xdr:cNvGraphicFramePr/>
      </xdr:nvGraphicFramePr>
      <xdr:xfrm>
        <a:off x="84879815" y="3479165"/>
        <a:ext cx="4699000" cy="2235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61595</xdr:colOff>
      <xdr:row>6</xdr:row>
      <xdr:rowOff>144145</xdr:rowOff>
    </xdr:from>
    <xdr:to>
      <xdr:col>48</xdr:col>
      <xdr:colOff>4825365</xdr:colOff>
      <xdr:row>9</xdr:row>
      <xdr:rowOff>432435</xdr:rowOff>
    </xdr:to>
    <xdr:graphicFrame>
      <xdr:nvGraphicFramePr>
        <xdr:cNvPr id="5" name="图表 4" descr="7b0a202020202263686172745265734964223a20223530303533343233220a7d0a"/>
        <xdr:cNvGraphicFramePr/>
      </xdr:nvGraphicFramePr>
      <xdr:xfrm>
        <a:off x="94931230" y="3471545"/>
        <a:ext cx="4763770" cy="219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126365</xdr:colOff>
      <xdr:row>10</xdr:row>
      <xdr:rowOff>143510</xdr:rowOff>
    </xdr:from>
    <xdr:to>
      <xdr:col>47</xdr:col>
      <xdr:colOff>4866005</xdr:colOff>
      <xdr:row>13</xdr:row>
      <xdr:rowOff>496570</xdr:rowOff>
    </xdr:to>
    <xdr:graphicFrame>
      <xdr:nvGraphicFramePr>
        <xdr:cNvPr id="6" name="图表 5" descr="7b0a202020202263686172745265734964223a20223530303533343233220a7d0a"/>
        <xdr:cNvGraphicFramePr/>
      </xdr:nvGraphicFramePr>
      <xdr:xfrm>
        <a:off x="84903310" y="6010910"/>
        <a:ext cx="4739640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149225</xdr:colOff>
      <xdr:row>10</xdr:row>
      <xdr:rowOff>122555</xdr:rowOff>
    </xdr:from>
    <xdr:to>
      <xdr:col>48</xdr:col>
      <xdr:colOff>4773930</xdr:colOff>
      <xdr:row>13</xdr:row>
      <xdr:rowOff>474345</xdr:rowOff>
    </xdr:to>
    <xdr:graphicFrame>
      <xdr:nvGraphicFramePr>
        <xdr:cNvPr id="7" name="图表 6" descr="7b0a202020202263686172745265734964223a20223530303533343233220a7d0a"/>
        <xdr:cNvGraphicFramePr/>
      </xdr:nvGraphicFramePr>
      <xdr:xfrm>
        <a:off x="95018860" y="5989955"/>
        <a:ext cx="4624705" cy="225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114300</xdr:colOff>
      <xdr:row>14</xdr:row>
      <xdr:rowOff>114300</xdr:rowOff>
    </xdr:from>
    <xdr:to>
      <xdr:col>47</xdr:col>
      <xdr:colOff>4878070</xdr:colOff>
      <xdr:row>17</xdr:row>
      <xdr:rowOff>546735</xdr:rowOff>
    </xdr:to>
    <xdr:graphicFrame>
      <xdr:nvGraphicFramePr>
        <xdr:cNvPr id="8" name="图表 7" descr="7b0a202020202263686172745265734964223a20223530303533343233220a7d0a"/>
        <xdr:cNvGraphicFramePr/>
      </xdr:nvGraphicFramePr>
      <xdr:xfrm>
        <a:off x="84891245" y="8521700"/>
        <a:ext cx="4763770" cy="233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142875</xdr:colOff>
      <xdr:row>14</xdr:row>
      <xdr:rowOff>139700</xdr:rowOff>
    </xdr:from>
    <xdr:to>
      <xdr:col>48</xdr:col>
      <xdr:colOff>4782185</xdr:colOff>
      <xdr:row>17</xdr:row>
      <xdr:rowOff>485775</xdr:rowOff>
    </xdr:to>
    <xdr:graphicFrame>
      <xdr:nvGraphicFramePr>
        <xdr:cNvPr id="9" name="图表 8" descr="7b0a202020202263686172745265734964223a20223530303533343233220a7d0a"/>
        <xdr:cNvGraphicFramePr/>
      </xdr:nvGraphicFramePr>
      <xdr:xfrm>
        <a:off x="95012510" y="8547100"/>
        <a:ext cx="4639310" cy="2251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95250</xdr:colOff>
      <xdr:row>18</xdr:row>
      <xdr:rowOff>76200</xdr:rowOff>
    </xdr:from>
    <xdr:to>
      <xdr:col>47</xdr:col>
      <xdr:colOff>4857750</xdr:colOff>
      <xdr:row>21</xdr:row>
      <xdr:rowOff>533400</xdr:rowOff>
    </xdr:to>
    <xdr:graphicFrame>
      <xdr:nvGraphicFramePr>
        <xdr:cNvPr id="10" name="图表 9" descr="7b0a202020202263686172745265734964223a20223530303533343233220a7d0a"/>
        <xdr:cNvGraphicFramePr/>
      </xdr:nvGraphicFramePr>
      <xdr:xfrm>
        <a:off x="84872195" y="11023600"/>
        <a:ext cx="476250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127000</xdr:colOff>
      <xdr:row>18</xdr:row>
      <xdr:rowOff>139700</xdr:rowOff>
    </xdr:from>
    <xdr:to>
      <xdr:col>48</xdr:col>
      <xdr:colOff>4860290</xdr:colOff>
      <xdr:row>21</xdr:row>
      <xdr:rowOff>549275</xdr:rowOff>
    </xdr:to>
    <xdr:graphicFrame>
      <xdr:nvGraphicFramePr>
        <xdr:cNvPr id="11" name="图表 10" descr="7b0a202020202263686172745265734964223a20223530303533343233220a7d0a"/>
        <xdr:cNvGraphicFramePr/>
      </xdr:nvGraphicFramePr>
      <xdr:xfrm>
        <a:off x="94996635" y="11087100"/>
        <a:ext cx="4733290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111125</xdr:colOff>
      <xdr:row>22</xdr:row>
      <xdr:rowOff>92075</xdr:rowOff>
    </xdr:from>
    <xdr:to>
      <xdr:col>48</xdr:col>
      <xdr:colOff>4857750</xdr:colOff>
      <xdr:row>25</xdr:row>
      <xdr:rowOff>549275</xdr:rowOff>
    </xdr:to>
    <xdr:graphicFrame>
      <xdr:nvGraphicFramePr>
        <xdr:cNvPr id="12" name="图表 11" descr="7b0a202020202263686172745265734964223a20223530303533343233220a7d0a"/>
        <xdr:cNvGraphicFramePr/>
      </xdr:nvGraphicFramePr>
      <xdr:xfrm>
        <a:off x="94980760" y="13579475"/>
        <a:ext cx="4746625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127000</xdr:colOff>
      <xdr:row>22</xdr:row>
      <xdr:rowOff>92075</xdr:rowOff>
    </xdr:from>
    <xdr:to>
      <xdr:col>47</xdr:col>
      <xdr:colOff>4924425</xdr:colOff>
      <xdr:row>25</xdr:row>
      <xdr:rowOff>517525</xdr:rowOff>
    </xdr:to>
    <xdr:graphicFrame>
      <xdr:nvGraphicFramePr>
        <xdr:cNvPr id="13" name="图表 12" descr="7b0a202020202263686172745265734964223a20223530303533343233220a7d0a"/>
        <xdr:cNvGraphicFramePr/>
      </xdr:nvGraphicFramePr>
      <xdr:xfrm>
        <a:off x="84903945" y="13579475"/>
        <a:ext cx="4797425" cy="233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120650</xdr:colOff>
      <xdr:row>26</xdr:row>
      <xdr:rowOff>104775</xdr:rowOff>
    </xdr:from>
    <xdr:to>
      <xdr:col>47</xdr:col>
      <xdr:colOff>4817745</xdr:colOff>
      <xdr:row>27</xdr:row>
      <xdr:rowOff>1193165</xdr:rowOff>
    </xdr:to>
    <xdr:graphicFrame>
      <xdr:nvGraphicFramePr>
        <xdr:cNvPr id="14" name="图表 13" descr="7b0a202020202263686172745265734964223a20223530303533343233220a7d0a"/>
        <xdr:cNvGraphicFramePr/>
      </xdr:nvGraphicFramePr>
      <xdr:xfrm>
        <a:off x="84897595" y="16132175"/>
        <a:ext cx="4697095" cy="2447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48</xdr:col>
      <xdr:colOff>127000</xdr:colOff>
      <xdr:row>26</xdr:row>
      <xdr:rowOff>146050</xdr:rowOff>
    </xdr:from>
    <xdr:to>
      <xdr:col>48</xdr:col>
      <xdr:colOff>4793615</xdr:colOff>
      <xdr:row>27</xdr:row>
      <xdr:rowOff>1251585</xdr:rowOff>
    </xdr:to>
    <xdr:graphicFrame>
      <xdr:nvGraphicFramePr>
        <xdr:cNvPr id="15" name="图表 14" descr="7b0a202020202263686172745265734964223a20223530303533343233220a7d0a"/>
        <xdr:cNvGraphicFramePr/>
      </xdr:nvGraphicFramePr>
      <xdr:xfrm>
        <a:off x="94996635" y="16173450"/>
        <a:ext cx="4666615" cy="2464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161290</xdr:colOff>
      <xdr:row>28</xdr:row>
      <xdr:rowOff>130175</xdr:rowOff>
    </xdr:from>
    <xdr:to>
      <xdr:col>47</xdr:col>
      <xdr:colOff>4781550</xdr:colOff>
      <xdr:row>29</xdr:row>
      <xdr:rowOff>1396365</xdr:rowOff>
    </xdr:to>
    <xdr:graphicFrame>
      <xdr:nvGraphicFramePr>
        <xdr:cNvPr id="16" name="图表 15" descr="7b0a202020202263686172745265734964223a20223530303533343233220a7d0a"/>
        <xdr:cNvGraphicFramePr/>
      </xdr:nvGraphicFramePr>
      <xdr:xfrm>
        <a:off x="84938235" y="18875375"/>
        <a:ext cx="4620260" cy="2802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41275</xdr:colOff>
      <xdr:row>28</xdr:row>
      <xdr:rowOff>130175</xdr:rowOff>
    </xdr:from>
    <xdr:to>
      <xdr:col>48</xdr:col>
      <xdr:colOff>4835525</xdr:colOff>
      <xdr:row>29</xdr:row>
      <xdr:rowOff>1336675</xdr:rowOff>
    </xdr:to>
    <xdr:graphicFrame>
      <xdr:nvGraphicFramePr>
        <xdr:cNvPr id="17" name="图表 16" descr="7b0a202020202263686172745265734964223a20223530303533343233220a7d0a"/>
        <xdr:cNvGraphicFramePr/>
      </xdr:nvGraphicFramePr>
      <xdr:xfrm>
        <a:off x="94910910" y="18875375"/>
        <a:ext cx="4794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111125</xdr:colOff>
      <xdr:row>30</xdr:row>
      <xdr:rowOff>158750</xdr:rowOff>
    </xdr:from>
    <xdr:to>
      <xdr:col>47</xdr:col>
      <xdr:colOff>4826000</xdr:colOff>
      <xdr:row>31</xdr:row>
      <xdr:rowOff>1429385</xdr:rowOff>
    </xdr:to>
    <xdr:graphicFrame>
      <xdr:nvGraphicFramePr>
        <xdr:cNvPr id="18" name="图表 17" descr="7b0a202020202263686172745265734964223a20223530303533343233220a7d0a"/>
        <xdr:cNvGraphicFramePr/>
      </xdr:nvGraphicFramePr>
      <xdr:xfrm>
        <a:off x="84888070" y="21977350"/>
        <a:ext cx="4714875" cy="2807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48</xdr:col>
      <xdr:colOff>85725</xdr:colOff>
      <xdr:row>30</xdr:row>
      <xdr:rowOff>142875</xdr:rowOff>
    </xdr:from>
    <xdr:to>
      <xdr:col>48</xdr:col>
      <xdr:colOff>4829175</xdr:colOff>
      <xdr:row>31</xdr:row>
      <xdr:rowOff>1380490</xdr:rowOff>
    </xdr:to>
    <xdr:graphicFrame>
      <xdr:nvGraphicFramePr>
        <xdr:cNvPr id="19" name="图表 18" descr="7b0a202020202263686172745265734964223a20223530303533343233220a7d0a"/>
        <xdr:cNvGraphicFramePr/>
      </xdr:nvGraphicFramePr>
      <xdr:xfrm>
        <a:off x="94955360" y="21961475"/>
        <a:ext cx="4743450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47</xdr:col>
      <xdr:colOff>346075</xdr:colOff>
      <xdr:row>32</xdr:row>
      <xdr:rowOff>116840</xdr:rowOff>
    </xdr:from>
    <xdr:to>
      <xdr:col>47</xdr:col>
      <xdr:colOff>4841875</xdr:colOff>
      <xdr:row>35</xdr:row>
      <xdr:rowOff>558800</xdr:rowOff>
    </xdr:to>
    <xdr:graphicFrame>
      <xdr:nvGraphicFramePr>
        <xdr:cNvPr id="20" name="图表 19" descr="7b0a202020202263686172745265734964223a20223530303533343233220a7d0a"/>
        <xdr:cNvGraphicFramePr/>
      </xdr:nvGraphicFramePr>
      <xdr:xfrm>
        <a:off x="85123020" y="25008840"/>
        <a:ext cx="4495800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203200</xdr:colOff>
      <xdr:row>36</xdr:row>
      <xdr:rowOff>76200</xdr:rowOff>
    </xdr:from>
    <xdr:to>
      <xdr:col>47</xdr:col>
      <xdr:colOff>4762500</xdr:colOff>
      <xdr:row>39</xdr:row>
      <xdr:rowOff>549910</xdr:rowOff>
    </xdr:to>
    <xdr:graphicFrame>
      <xdr:nvGraphicFramePr>
        <xdr:cNvPr id="21" name="图表 20" descr="7b0a202020202263686172745265734964223a20223530303533343233220a7d0a"/>
        <xdr:cNvGraphicFramePr/>
      </xdr:nvGraphicFramePr>
      <xdr:xfrm>
        <a:off x="84980145" y="27508200"/>
        <a:ext cx="4559300" cy="2378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47</xdr:col>
      <xdr:colOff>266065</xdr:colOff>
      <xdr:row>40</xdr:row>
      <xdr:rowOff>149225</xdr:rowOff>
    </xdr:from>
    <xdr:to>
      <xdr:col>47</xdr:col>
      <xdr:colOff>4721860</xdr:colOff>
      <xdr:row>43</xdr:row>
      <xdr:rowOff>527685</xdr:rowOff>
    </xdr:to>
    <xdr:graphicFrame>
      <xdr:nvGraphicFramePr>
        <xdr:cNvPr id="22" name="图表 21" descr="7b0a202020202263686172745265734964223a20223530303533343233220a7d0a"/>
        <xdr:cNvGraphicFramePr/>
      </xdr:nvGraphicFramePr>
      <xdr:xfrm>
        <a:off x="85043010" y="30121225"/>
        <a:ext cx="4455795" cy="2283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48</xdr:col>
      <xdr:colOff>196850</xdr:colOff>
      <xdr:row>32</xdr:row>
      <xdr:rowOff>85725</xdr:rowOff>
    </xdr:from>
    <xdr:to>
      <xdr:col>48</xdr:col>
      <xdr:colOff>4789170</xdr:colOff>
      <xdr:row>35</xdr:row>
      <xdr:rowOff>479425</xdr:rowOff>
    </xdr:to>
    <xdr:graphicFrame>
      <xdr:nvGraphicFramePr>
        <xdr:cNvPr id="23" name="图表 22" descr="7b0a202020202263686172745265734964223a20223530303533343233220a7d0a"/>
        <xdr:cNvGraphicFramePr/>
      </xdr:nvGraphicFramePr>
      <xdr:xfrm>
        <a:off x="95066485" y="24977725"/>
        <a:ext cx="4592320" cy="2298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48</xdr:col>
      <xdr:colOff>212725</xdr:colOff>
      <xdr:row>36</xdr:row>
      <xdr:rowOff>117475</xdr:rowOff>
    </xdr:from>
    <xdr:to>
      <xdr:col>48</xdr:col>
      <xdr:colOff>4832350</xdr:colOff>
      <xdr:row>39</xdr:row>
      <xdr:rowOff>528320</xdr:rowOff>
    </xdr:to>
    <xdr:graphicFrame>
      <xdr:nvGraphicFramePr>
        <xdr:cNvPr id="24" name="图表 23" descr="7b0a202020202263686172745265734964223a20223530303533343233220a7d0a"/>
        <xdr:cNvGraphicFramePr/>
      </xdr:nvGraphicFramePr>
      <xdr:xfrm>
        <a:off x="95082360" y="27549475"/>
        <a:ext cx="4619625" cy="231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48</xdr:col>
      <xdr:colOff>276225</xdr:colOff>
      <xdr:row>40</xdr:row>
      <xdr:rowOff>149225</xdr:rowOff>
    </xdr:from>
    <xdr:to>
      <xdr:col>48</xdr:col>
      <xdr:colOff>4772660</xdr:colOff>
      <xdr:row>43</xdr:row>
      <xdr:rowOff>510540</xdr:rowOff>
    </xdr:to>
    <xdr:graphicFrame>
      <xdr:nvGraphicFramePr>
        <xdr:cNvPr id="25" name="图表 24" descr="7b0a202020202263686172745265734964223a20223530303533343233220a7d0a"/>
        <xdr:cNvGraphicFramePr/>
      </xdr:nvGraphicFramePr>
      <xdr:xfrm>
        <a:off x="95145860" y="30121225"/>
        <a:ext cx="4496435" cy="2266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商务粉">
    <a:dk1>
      <a:srgbClr val="000000"/>
    </a:dk1>
    <a:lt1>
      <a:srgbClr val="FFFFFF"/>
    </a:lt1>
    <a:dk2>
      <a:srgbClr val="44546A"/>
    </a:dk2>
    <a:lt2>
      <a:srgbClr val="E7E6E6"/>
    </a:lt2>
    <a:accent1>
      <a:srgbClr val="E94E72"/>
    </a:accent1>
    <a:accent2>
      <a:srgbClr val="164074"/>
    </a:accent2>
    <a:accent3>
      <a:srgbClr val="F4CCC9"/>
    </a:accent3>
    <a:accent4>
      <a:srgbClr val="776E84"/>
    </a:accent4>
    <a:accent5>
      <a:srgbClr val="B9E1DC"/>
    </a:accent5>
    <a:accent6>
      <a:srgbClr val="F37F7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zoomScale="70" zoomScaleNormal="70" workbookViewId="0">
      <selection activeCell="J24" sqref="J24"/>
    </sheetView>
  </sheetViews>
  <sheetFormatPr defaultColWidth="8.88888888888889" defaultRowHeight="14.25"/>
  <cols>
    <col min="1" max="1" width="5.55555555555556" style="6" customWidth="1"/>
    <col min="2" max="2" width="34.5555555555556" style="6" customWidth="1"/>
    <col min="3" max="3" width="13.4444444444444" style="6" customWidth="1"/>
    <col min="4" max="4" width="22.6933333333333" style="6" customWidth="1"/>
    <col min="5" max="5" width="13.4444444444444" style="6" customWidth="1"/>
    <col min="6" max="6" width="27.6088888888889" style="6" customWidth="1"/>
    <col min="7" max="7" width="13.4444444444444" style="6" customWidth="1"/>
    <col min="8" max="8" width="23.4444444444444" style="6" customWidth="1"/>
    <col min="9" max="9" width="13.4444444444444" style="6" customWidth="1"/>
    <col min="10" max="10" width="21.5555555555556" style="6" customWidth="1"/>
    <col min="11" max="11" width="13.4444444444444" style="6" customWidth="1"/>
    <col min="12" max="12" width="19.6666666666667" style="6" customWidth="1"/>
    <col min="13" max="13" width="13.4444444444444" style="6" customWidth="1"/>
    <col min="14" max="14" width="15.8888888888889" style="6" customWidth="1"/>
    <col min="15" max="16384" width="8.88888888888889" style="6"/>
  </cols>
  <sheetData>
    <row r="1" ht="40" customHeight="1" spans="1:14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3" t="s">
        <v>1</v>
      </c>
      <c r="B2" s="164" t="s">
        <v>2</v>
      </c>
      <c r="C2" s="165" t="s">
        <v>3</v>
      </c>
      <c r="D2" s="166"/>
      <c r="E2" s="165" t="s">
        <v>4</v>
      </c>
      <c r="F2" s="174"/>
      <c r="G2" s="174"/>
      <c r="H2" s="166"/>
      <c r="I2" s="164" t="s">
        <v>5</v>
      </c>
      <c r="J2" s="164"/>
      <c r="K2" s="164"/>
      <c r="L2" s="164"/>
      <c r="M2" s="164"/>
      <c r="N2" s="164"/>
    </row>
    <row r="3" ht="25" customHeight="1" spans="1:14">
      <c r="A3" s="167"/>
      <c r="B3" s="164" t="s">
        <v>6</v>
      </c>
      <c r="C3" s="168" t="s">
        <v>7</v>
      </c>
      <c r="D3" s="169"/>
      <c r="E3" s="175" t="s">
        <v>8</v>
      </c>
      <c r="F3" s="176"/>
      <c r="G3" s="165" t="s">
        <v>9</v>
      </c>
      <c r="H3" s="166"/>
      <c r="I3" s="164" t="s">
        <v>10</v>
      </c>
      <c r="J3" s="164"/>
      <c r="K3" s="19" t="s">
        <v>11</v>
      </c>
      <c r="L3" s="19"/>
      <c r="M3" s="164" t="s">
        <v>12</v>
      </c>
      <c r="N3" s="164"/>
    </row>
    <row r="4" spans="1:14">
      <c r="A4" s="170"/>
      <c r="B4" s="164" t="s">
        <v>13</v>
      </c>
      <c r="C4" s="164" t="s">
        <v>14</v>
      </c>
      <c r="D4" s="164" t="s">
        <v>15</v>
      </c>
      <c r="E4" s="164" t="s">
        <v>14</v>
      </c>
      <c r="F4" s="164" t="s">
        <v>16</v>
      </c>
      <c r="G4" s="164" t="s">
        <v>14</v>
      </c>
      <c r="H4" s="164" t="s">
        <v>16</v>
      </c>
      <c r="I4" s="164" t="s">
        <v>14</v>
      </c>
      <c r="J4" s="164" t="s">
        <v>16</v>
      </c>
      <c r="K4" s="19" t="s">
        <v>14</v>
      </c>
      <c r="L4" s="19" t="s">
        <v>16</v>
      </c>
      <c r="M4" s="164" t="s">
        <v>14</v>
      </c>
      <c r="N4" s="164" t="s">
        <v>16</v>
      </c>
    </row>
    <row r="5" ht="28.5" spans="1:14">
      <c r="A5" s="171" t="s">
        <v>17</v>
      </c>
      <c r="B5" s="43" t="s">
        <v>18</v>
      </c>
      <c r="C5" s="28">
        <v>3</v>
      </c>
      <c r="D5" s="172" t="s">
        <v>19</v>
      </c>
      <c r="E5" s="28">
        <v>3</v>
      </c>
      <c r="F5" s="177" t="s">
        <v>20</v>
      </c>
      <c r="G5" s="28">
        <v>3</v>
      </c>
      <c r="H5" s="43" t="s">
        <v>21</v>
      </c>
      <c r="I5" s="28">
        <v>3</v>
      </c>
      <c r="J5" s="43" t="s">
        <v>21</v>
      </c>
      <c r="K5" s="180">
        <v>3</v>
      </c>
      <c r="L5" s="181" t="s">
        <v>22</v>
      </c>
      <c r="M5" s="28">
        <v>3</v>
      </c>
      <c r="N5" s="144" t="s">
        <v>23</v>
      </c>
    </row>
    <row r="6" spans="1:14">
      <c r="A6" s="171" t="s">
        <v>24</v>
      </c>
      <c r="B6" s="43" t="s">
        <v>25</v>
      </c>
      <c r="C6" s="28" t="s">
        <v>26</v>
      </c>
      <c r="D6" s="28" t="s">
        <v>26</v>
      </c>
      <c r="E6" s="28" t="s">
        <v>26</v>
      </c>
      <c r="F6" s="28" t="s">
        <v>26</v>
      </c>
      <c r="G6" s="28" t="s">
        <v>26</v>
      </c>
      <c r="H6" s="43"/>
      <c r="I6" s="28">
        <v>3</v>
      </c>
      <c r="J6" s="43"/>
      <c r="K6" s="180">
        <v>3</v>
      </c>
      <c r="L6" s="181"/>
      <c r="M6" s="28">
        <v>3</v>
      </c>
      <c r="N6" s="159"/>
    </row>
    <row r="7" spans="1:14">
      <c r="A7" s="171" t="s">
        <v>27</v>
      </c>
      <c r="B7" s="43" t="s">
        <v>28</v>
      </c>
      <c r="C7" s="9" t="s">
        <v>26</v>
      </c>
      <c r="D7" s="28" t="s">
        <v>26</v>
      </c>
      <c r="E7" s="9" t="s">
        <v>26</v>
      </c>
      <c r="F7" s="28" t="s">
        <v>26</v>
      </c>
      <c r="G7" s="9" t="s">
        <v>26</v>
      </c>
      <c r="H7" s="43"/>
      <c r="I7" s="9">
        <v>3</v>
      </c>
      <c r="J7" s="43"/>
      <c r="K7" s="182">
        <v>3</v>
      </c>
      <c r="L7" s="181"/>
      <c r="M7" s="9">
        <v>3</v>
      </c>
      <c r="N7" s="159"/>
    </row>
    <row r="8" spans="1:14">
      <c r="A8" s="171" t="s">
        <v>29</v>
      </c>
      <c r="B8" s="43" t="s">
        <v>30</v>
      </c>
      <c r="C8" s="9">
        <v>3</v>
      </c>
      <c r="D8" s="172" t="s">
        <v>19</v>
      </c>
      <c r="E8" s="9">
        <v>3</v>
      </c>
      <c r="F8" s="178" t="s">
        <v>31</v>
      </c>
      <c r="G8" s="9">
        <v>3</v>
      </c>
      <c r="H8" s="43"/>
      <c r="I8" s="9">
        <v>3</v>
      </c>
      <c r="J8" s="43"/>
      <c r="K8" s="182">
        <v>3</v>
      </c>
      <c r="L8" s="181"/>
      <c r="M8" s="9">
        <v>3</v>
      </c>
      <c r="N8" s="159"/>
    </row>
    <row r="9" spans="1:14">
      <c r="A9" s="171" t="s">
        <v>32</v>
      </c>
      <c r="B9" s="43" t="s">
        <v>33</v>
      </c>
      <c r="C9" s="9" t="s">
        <v>26</v>
      </c>
      <c r="D9" s="28" t="s">
        <v>26</v>
      </c>
      <c r="E9" s="9" t="s">
        <v>26</v>
      </c>
      <c r="F9" s="28" t="s">
        <v>26</v>
      </c>
      <c r="G9" s="9" t="s">
        <v>26</v>
      </c>
      <c r="H9" s="43"/>
      <c r="I9" s="9">
        <v>3</v>
      </c>
      <c r="J9" s="43"/>
      <c r="K9" s="182">
        <v>3</v>
      </c>
      <c r="L9" s="181"/>
      <c r="M9" s="9">
        <v>3</v>
      </c>
      <c r="N9" s="159"/>
    </row>
    <row r="10" spans="1:14">
      <c r="A10" s="171" t="s">
        <v>34</v>
      </c>
      <c r="B10" s="43" t="s">
        <v>35</v>
      </c>
      <c r="C10" s="9">
        <v>3</v>
      </c>
      <c r="D10" s="172" t="s">
        <v>19</v>
      </c>
      <c r="E10" s="9">
        <v>3</v>
      </c>
      <c r="F10" s="179" t="s">
        <v>36</v>
      </c>
      <c r="G10" s="9">
        <v>3</v>
      </c>
      <c r="H10" s="43"/>
      <c r="I10" s="9">
        <v>3</v>
      </c>
      <c r="J10" s="43"/>
      <c r="K10" s="182">
        <v>3</v>
      </c>
      <c r="L10" s="181"/>
      <c r="M10" s="9">
        <v>3</v>
      </c>
      <c r="N10" s="159"/>
    </row>
    <row r="11" spans="1:14">
      <c r="A11" s="171" t="s">
        <v>37</v>
      </c>
      <c r="B11" s="43" t="s">
        <v>38</v>
      </c>
      <c r="C11" s="28">
        <v>3</v>
      </c>
      <c r="D11" s="172" t="s">
        <v>19</v>
      </c>
      <c r="E11" s="28">
        <v>3</v>
      </c>
      <c r="F11" s="179" t="s">
        <v>36</v>
      </c>
      <c r="G11" s="28">
        <v>3</v>
      </c>
      <c r="H11" s="43"/>
      <c r="I11" s="28">
        <v>3</v>
      </c>
      <c r="J11" s="43"/>
      <c r="K11" s="180">
        <v>3</v>
      </c>
      <c r="L11" s="181"/>
      <c r="M11" s="28">
        <v>3</v>
      </c>
      <c r="N11" s="159"/>
    </row>
    <row r="12" ht="28.5" spans="1:14">
      <c r="A12" s="171" t="s">
        <v>39</v>
      </c>
      <c r="B12" s="43" t="s">
        <v>40</v>
      </c>
      <c r="C12" s="28" t="s">
        <v>26</v>
      </c>
      <c r="D12" s="28" t="s">
        <v>26</v>
      </c>
      <c r="E12" s="28">
        <v>3</v>
      </c>
      <c r="F12" s="177" t="s">
        <v>41</v>
      </c>
      <c r="G12" s="28">
        <v>3</v>
      </c>
      <c r="H12" s="43"/>
      <c r="I12" s="28">
        <v>3</v>
      </c>
      <c r="J12" s="43"/>
      <c r="K12" s="180" t="s">
        <v>26</v>
      </c>
      <c r="L12" s="181"/>
      <c r="M12" s="28" t="s">
        <v>26</v>
      </c>
      <c r="N12" s="159"/>
    </row>
    <row r="13" spans="1:14">
      <c r="A13" s="171" t="s">
        <v>42</v>
      </c>
      <c r="B13" s="43" t="s">
        <v>43</v>
      </c>
      <c r="C13" s="9" t="s">
        <v>26</v>
      </c>
      <c r="D13" s="28" t="s">
        <v>26</v>
      </c>
      <c r="E13" s="9" t="s">
        <v>26</v>
      </c>
      <c r="F13" s="28" t="s">
        <v>26</v>
      </c>
      <c r="G13" s="9" t="s">
        <v>26</v>
      </c>
      <c r="H13" s="43"/>
      <c r="I13" s="9">
        <v>3</v>
      </c>
      <c r="J13" s="43"/>
      <c r="K13" s="182" t="s">
        <v>26</v>
      </c>
      <c r="L13" s="181"/>
      <c r="M13" s="9" t="s">
        <v>26</v>
      </c>
      <c r="N13" s="159"/>
    </row>
    <row r="14" spans="1:14">
      <c r="A14" s="171" t="s">
        <v>44</v>
      </c>
      <c r="B14" s="43" t="s">
        <v>45</v>
      </c>
      <c r="C14" s="9" t="s">
        <v>26</v>
      </c>
      <c r="D14" s="28" t="s">
        <v>26</v>
      </c>
      <c r="E14" s="9" t="s">
        <v>26</v>
      </c>
      <c r="F14" s="28" t="s">
        <v>26</v>
      </c>
      <c r="G14" s="9" t="s">
        <v>26</v>
      </c>
      <c r="H14" s="43"/>
      <c r="I14" s="9">
        <v>3</v>
      </c>
      <c r="J14" s="43"/>
      <c r="K14" s="182" t="s">
        <v>26</v>
      </c>
      <c r="L14" s="181"/>
      <c r="M14" s="9" t="s">
        <v>26</v>
      </c>
      <c r="N14" s="159"/>
    </row>
    <row r="15" spans="1:14">
      <c r="A15" s="171" t="s">
        <v>46</v>
      </c>
      <c r="B15" s="43" t="s">
        <v>47</v>
      </c>
      <c r="C15" s="9" t="s">
        <v>26</v>
      </c>
      <c r="D15" s="28" t="s">
        <v>26</v>
      </c>
      <c r="E15" s="9" t="s">
        <v>26</v>
      </c>
      <c r="F15" s="28" t="s">
        <v>26</v>
      </c>
      <c r="G15" s="9" t="s">
        <v>26</v>
      </c>
      <c r="H15" s="43"/>
      <c r="I15" s="9" t="s">
        <v>26</v>
      </c>
      <c r="J15" s="43"/>
      <c r="K15" s="182" t="s">
        <v>26</v>
      </c>
      <c r="L15" s="181"/>
      <c r="M15" s="9" t="s">
        <v>26</v>
      </c>
      <c r="N15" s="159"/>
    </row>
    <row r="16" spans="1:14">
      <c r="A16" s="173" t="s">
        <v>48</v>
      </c>
      <c r="B16" s="49" t="s">
        <v>49</v>
      </c>
      <c r="C16" s="9" t="s">
        <v>26</v>
      </c>
      <c r="D16" s="28" t="s">
        <v>26</v>
      </c>
      <c r="E16" s="9" t="s">
        <v>26</v>
      </c>
      <c r="F16" s="28" t="s">
        <v>26</v>
      </c>
      <c r="G16" s="9" t="s">
        <v>26</v>
      </c>
      <c r="H16" s="43"/>
      <c r="I16" s="9">
        <v>3</v>
      </c>
      <c r="J16" s="43"/>
      <c r="K16" s="182">
        <v>3</v>
      </c>
      <c r="L16" s="181"/>
      <c r="M16" s="9">
        <v>3</v>
      </c>
      <c r="N16" s="159"/>
    </row>
    <row r="17" spans="1:14">
      <c r="A17" s="173" t="s">
        <v>50</v>
      </c>
      <c r="B17" s="49" t="s">
        <v>51</v>
      </c>
      <c r="C17" s="9" t="s">
        <v>26</v>
      </c>
      <c r="D17" s="28" t="s">
        <v>26</v>
      </c>
      <c r="E17" s="9">
        <v>3</v>
      </c>
      <c r="F17" s="179" t="s">
        <v>36</v>
      </c>
      <c r="G17" s="9">
        <v>3</v>
      </c>
      <c r="H17" s="43"/>
      <c r="I17" s="9" t="s">
        <v>26</v>
      </c>
      <c r="J17" s="43"/>
      <c r="K17" s="182" t="s">
        <v>26</v>
      </c>
      <c r="L17" s="181"/>
      <c r="M17" s="9" t="s">
        <v>26</v>
      </c>
      <c r="N17" s="159"/>
    </row>
    <row r="18" spans="1:14">
      <c r="A18" s="173" t="s">
        <v>52</v>
      </c>
      <c r="B18" s="49" t="s">
        <v>53</v>
      </c>
      <c r="C18" s="9" t="s">
        <v>26</v>
      </c>
      <c r="D18" s="28" t="s">
        <v>26</v>
      </c>
      <c r="E18" s="9" t="s">
        <v>26</v>
      </c>
      <c r="F18" s="28" t="s">
        <v>26</v>
      </c>
      <c r="G18" s="9" t="s">
        <v>26</v>
      </c>
      <c r="H18" s="43"/>
      <c r="I18" s="9">
        <v>3</v>
      </c>
      <c r="J18" s="43"/>
      <c r="K18" s="182" t="s">
        <v>26</v>
      </c>
      <c r="L18" s="181"/>
      <c r="M18" s="9" t="s">
        <v>26</v>
      </c>
      <c r="N18" s="159"/>
    </row>
    <row r="19" spans="1:14">
      <c r="A19" s="173" t="s">
        <v>54</v>
      </c>
      <c r="B19" s="49" t="s">
        <v>55</v>
      </c>
      <c r="C19" s="9" t="s">
        <v>26</v>
      </c>
      <c r="D19" s="28" t="s">
        <v>26</v>
      </c>
      <c r="E19" s="9" t="s">
        <v>26</v>
      </c>
      <c r="F19" s="28" t="s">
        <v>26</v>
      </c>
      <c r="G19" s="9" t="s">
        <v>26</v>
      </c>
      <c r="H19" s="43"/>
      <c r="I19" s="9">
        <v>3</v>
      </c>
      <c r="J19" s="43"/>
      <c r="K19" s="182">
        <v>3</v>
      </c>
      <c r="L19" s="181"/>
      <c r="M19" s="9">
        <v>3</v>
      </c>
      <c r="N19" s="159"/>
    </row>
    <row r="20" spans="1:14">
      <c r="A20" s="173" t="s">
        <v>56</v>
      </c>
      <c r="B20" s="49" t="s">
        <v>57</v>
      </c>
      <c r="C20" s="28" t="s">
        <v>26</v>
      </c>
      <c r="D20" s="28" t="s">
        <v>26</v>
      </c>
      <c r="E20" s="28" t="s">
        <v>26</v>
      </c>
      <c r="F20" s="28" t="s">
        <v>26</v>
      </c>
      <c r="G20" s="28" t="s">
        <v>26</v>
      </c>
      <c r="H20" s="43"/>
      <c r="I20" s="28">
        <v>3</v>
      </c>
      <c r="J20" s="43"/>
      <c r="K20" s="180" t="s">
        <v>26</v>
      </c>
      <c r="L20" s="181"/>
      <c r="M20" s="28" t="s">
        <v>26</v>
      </c>
      <c r="N20" s="159"/>
    </row>
    <row r="21" ht="28.5" spans="1:14">
      <c r="A21" s="173" t="s">
        <v>58</v>
      </c>
      <c r="B21" s="49" t="s">
        <v>59</v>
      </c>
      <c r="C21" s="9" t="s">
        <v>26</v>
      </c>
      <c r="D21" s="28" t="s">
        <v>26</v>
      </c>
      <c r="E21" s="9">
        <v>10</v>
      </c>
      <c r="F21" s="177" t="s">
        <v>60</v>
      </c>
      <c r="G21" s="9">
        <v>10</v>
      </c>
      <c r="H21" s="43"/>
      <c r="I21" s="9">
        <v>5</v>
      </c>
      <c r="J21" s="43"/>
      <c r="K21" s="182">
        <v>5</v>
      </c>
      <c r="L21" s="181"/>
      <c r="M21" s="9">
        <v>5</v>
      </c>
      <c r="N21" s="159"/>
    </row>
    <row r="22" spans="1:14">
      <c r="A22" s="9"/>
      <c r="B22" s="43" t="s">
        <v>61</v>
      </c>
      <c r="C22" s="9">
        <f>SUM(C5:C21)</f>
        <v>12</v>
      </c>
      <c r="D22" s="9"/>
      <c r="E22" s="9">
        <f>SUM(E5:E21)</f>
        <v>28</v>
      </c>
      <c r="F22" s="28" t="s">
        <v>26</v>
      </c>
      <c r="G22" s="9">
        <f>SUM(G5:G21)</f>
        <v>28</v>
      </c>
      <c r="H22" s="43"/>
      <c r="I22" s="9">
        <f>SUM(I5:I21)</f>
        <v>47</v>
      </c>
      <c r="J22" s="43"/>
      <c r="K22" s="182">
        <f>SUM(K5:K21)</f>
        <v>32</v>
      </c>
      <c r="L22" s="181"/>
      <c r="M22" s="9">
        <f>SUM(M5:M21)</f>
        <v>32</v>
      </c>
      <c r="N22" s="161"/>
    </row>
  </sheetData>
  <mergeCells count="15">
    <mergeCell ref="A1:N1"/>
    <mergeCell ref="C2:D2"/>
    <mergeCell ref="E2:H2"/>
    <mergeCell ref="I2:N2"/>
    <mergeCell ref="C3:D3"/>
    <mergeCell ref="E3:F3"/>
    <mergeCell ref="G3:H3"/>
    <mergeCell ref="I3:J3"/>
    <mergeCell ref="K3:L3"/>
    <mergeCell ref="M3:N3"/>
    <mergeCell ref="A2:A4"/>
    <mergeCell ref="H5:H22"/>
    <mergeCell ref="J5:J22"/>
    <mergeCell ref="L5:L22"/>
    <mergeCell ref="N5:N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F21"/>
  <sheetViews>
    <sheetView zoomScale="60" zoomScaleNormal="60" workbookViewId="0">
      <selection activeCell="J19" sqref="J19"/>
    </sheetView>
  </sheetViews>
  <sheetFormatPr defaultColWidth="9.45333333333333" defaultRowHeight="35" customHeight="1"/>
  <cols>
    <col min="1" max="1" width="9.45333333333333" style="79"/>
    <col min="2" max="2" width="14.5466666666667" style="80" customWidth="1"/>
    <col min="3" max="3" width="34.2222222222222" style="83" customWidth="1"/>
    <col min="4" max="4" width="13.1866666666667" style="83" customWidth="1"/>
    <col min="5" max="5" width="26.1377777777778" style="83" customWidth="1"/>
    <col min="6" max="6" width="8.24888888888889" style="80" customWidth="1"/>
    <col min="7" max="7" width="16" style="80" customWidth="1"/>
    <col min="8" max="8" width="17.0933333333333" style="80" customWidth="1"/>
    <col min="9" max="9" width="22.1466666666667" style="80" customWidth="1"/>
    <col min="10" max="10" width="16" style="80" customWidth="1"/>
    <col min="11" max="11" width="25.0933333333333" style="80" customWidth="1"/>
    <col min="12" max="13" width="10.6666666666667" style="79" customWidth="1"/>
    <col min="14" max="16" width="9.81333333333333" style="79" customWidth="1"/>
    <col min="17" max="22" width="9.54666666666667" style="79"/>
    <col min="23" max="31" width="10.6666666666667" style="79"/>
    <col min="32" max="32" width="14.3333333333333" style="79"/>
    <col min="33" max="44" width="10.6666666666667" style="79"/>
    <col min="45" max="53" width="9.54666666666667" style="79"/>
    <col min="54" max="16384" width="9.45333333333333" style="79"/>
  </cols>
  <sheetData>
    <row r="1" s="79" customFormat="1" customHeight="1" spans="1:11">
      <c r="A1" s="83"/>
      <c r="B1" s="83"/>
      <c r="C1" s="83"/>
      <c r="D1" s="83"/>
      <c r="E1" s="83"/>
      <c r="F1" s="80"/>
      <c r="G1" s="80"/>
      <c r="H1" s="80"/>
      <c r="I1" s="80"/>
      <c r="J1" s="80"/>
      <c r="K1" s="80"/>
    </row>
    <row r="2" s="80" customFormat="1" ht="42" customHeight="1" spans="1:58">
      <c r="A2" s="112" t="s">
        <v>62</v>
      </c>
      <c r="B2" s="112" t="s">
        <v>63</v>
      </c>
      <c r="C2" s="112" t="s">
        <v>64</v>
      </c>
      <c r="D2" s="112" t="s">
        <v>65</v>
      </c>
      <c r="E2" s="112" t="s">
        <v>66</v>
      </c>
      <c r="F2" s="112" t="s">
        <v>67</v>
      </c>
      <c r="G2" s="112" t="s">
        <v>68</v>
      </c>
      <c r="H2" s="112" t="s">
        <v>69</v>
      </c>
      <c r="I2" s="112" t="s">
        <v>70</v>
      </c>
      <c r="J2" s="112" t="s">
        <v>71</v>
      </c>
      <c r="K2" s="112" t="s">
        <v>72</v>
      </c>
      <c r="L2" s="96">
        <v>46062</v>
      </c>
      <c r="M2" s="96">
        <v>46063</v>
      </c>
      <c r="N2" s="96">
        <v>46064</v>
      </c>
      <c r="O2" s="96">
        <v>46065</v>
      </c>
      <c r="P2" s="96">
        <v>46066</v>
      </c>
      <c r="Q2" s="96">
        <v>46067</v>
      </c>
      <c r="R2" s="96">
        <v>46068</v>
      </c>
      <c r="S2" s="96">
        <v>46069</v>
      </c>
      <c r="T2" s="96">
        <v>46070</v>
      </c>
      <c r="U2" s="96">
        <v>46071</v>
      </c>
      <c r="V2" s="96">
        <v>46072</v>
      </c>
      <c r="W2" s="96">
        <v>46073</v>
      </c>
      <c r="X2" s="96">
        <v>46074</v>
      </c>
      <c r="Y2" s="96">
        <v>46075</v>
      </c>
      <c r="Z2" s="96">
        <v>46076</v>
      </c>
      <c r="AA2" s="96">
        <v>46077</v>
      </c>
      <c r="AB2" s="96">
        <v>46078</v>
      </c>
      <c r="AC2" s="96">
        <v>46079</v>
      </c>
      <c r="AD2" s="96">
        <v>46080</v>
      </c>
      <c r="AE2" s="96">
        <v>46081</v>
      </c>
      <c r="AF2" s="96">
        <v>46082</v>
      </c>
      <c r="AG2" s="96">
        <v>46083</v>
      </c>
      <c r="AH2" s="96">
        <v>46084</v>
      </c>
      <c r="AI2" s="96">
        <v>46085</v>
      </c>
      <c r="AJ2" s="96">
        <v>46086</v>
      </c>
      <c r="AK2" s="96">
        <v>46087</v>
      </c>
      <c r="AL2" s="96">
        <v>46088</v>
      </c>
      <c r="AM2" s="96">
        <v>46089</v>
      </c>
      <c r="AN2" s="96">
        <v>46090</v>
      </c>
      <c r="AO2" s="96">
        <v>46091</v>
      </c>
      <c r="AP2" s="96">
        <v>46092</v>
      </c>
      <c r="AQ2" s="96">
        <v>46093</v>
      </c>
      <c r="AR2" s="96">
        <v>46094</v>
      </c>
      <c r="AS2" s="96">
        <v>46095</v>
      </c>
      <c r="AT2" s="96">
        <v>46096</v>
      </c>
      <c r="AU2" s="96">
        <v>46097</v>
      </c>
      <c r="AV2" s="96">
        <v>46098</v>
      </c>
      <c r="AW2" s="96">
        <v>46099</v>
      </c>
      <c r="AX2" s="96">
        <v>46100</v>
      </c>
      <c r="AY2" s="96">
        <v>46101</v>
      </c>
      <c r="AZ2" s="96">
        <v>46102</v>
      </c>
      <c r="BA2" s="96">
        <v>46103</v>
      </c>
      <c r="BB2" s="96">
        <v>46104</v>
      </c>
      <c r="BC2" s="96">
        <v>46105</v>
      </c>
      <c r="BD2" s="96">
        <v>46106</v>
      </c>
      <c r="BE2" s="96">
        <v>46107</v>
      </c>
      <c r="BF2" s="96">
        <v>46108</v>
      </c>
    </row>
    <row r="3" s="81" customFormat="1" customHeight="1" spans="1:58">
      <c r="A3" s="85" t="s">
        <v>73</v>
      </c>
      <c r="B3" s="93">
        <v>1.1</v>
      </c>
      <c r="C3" s="113" t="s">
        <v>18</v>
      </c>
      <c r="D3" s="16" t="s">
        <v>74</v>
      </c>
      <c r="E3" s="16" t="s">
        <v>75</v>
      </c>
      <c r="F3" s="93">
        <v>3</v>
      </c>
      <c r="G3" s="93" t="s">
        <v>76</v>
      </c>
      <c r="H3" s="35">
        <v>46078</v>
      </c>
      <c r="I3" s="35">
        <v>46099</v>
      </c>
      <c r="J3" s="117" t="s">
        <v>77</v>
      </c>
      <c r="K3" s="118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107" t="s">
        <v>78</v>
      </c>
      <c r="AC3" s="106"/>
      <c r="AD3" s="106"/>
      <c r="AE3" s="107" t="s">
        <v>79</v>
      </c>
      <c r="AF3" s="106"/>
      <c r="AH3" s="106"/>
      <c r="AI3" s="106"/>
      <c r="AJ3" s="106"/>
      <c r="AK3" s="106"/>
      <c r="AL3" s="107" t="s">
        <v>80</v>
      </c>
      <c r="AM3" s="106"/>
      <c r="AN3" s="106"/>
      <c r="AO3" s="106"/>
      <c r="AP3" s="106"/>
      <c r="AQ3" s="106"/>
      <c r="AR3" s="106"/>
      <c r="AS3" s="107" t="s">
        <v>81</v>
      </c>
      <c r="AU3" s="106"/>
      <c r="AV3" s="106"/>
      <c r="AW3" s="106"/>
      <c r="AX3" s="106"/>
      <c r="AY3" s="106"/>
      <c r="AZ3" s="106"/>
      <c r="BA3" s="106"/>
      <c r="BB3" s="99"/>
      <c r="BC3" s="99"/>
      <c r="BD3" s="99"/>
      <c r="BE3" s="99"/>
      <c r="BF3" s="99"/>
    </row>
    <row r="4" s="81" customFormat="1" customHeight="1" spans="1:58">
      <c r="A4" s="85"/>
      <c r="B4" s="93"/>
      <c r="C4" s="113"/>
      <c r="D4" s="16"/>
      <c r="E4" s="16"/>
      <c r="F4" s="93"/>
      <c r="G4" s="93" t="s">
        <v>82</v>
      </c>
      <c r="H4" s="34">
        <v>46077</v>
      </c>
      <c r="I4" s="35"/>
      <c r="J4" s="117"/>
      <c r="K4" s="118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7" t="s">
        <v>78</v>
      </c>
      <c r="AB4" s="106"/>
      <c r="AC4" s="106"/>
      <c r="AD4" s="107" t="s">
        <v>79</v>
      </c>
      <c r="AE4" s="106"/>
      <c r="AG4" s="106"/>
      <c r="AH4" s="106"/>
      <c r="AI4" s="106"/>
      <c r="AJ4" s="106"/>
      <c r="AK4" s="107" t="s">
        <v>80</v>
      </c>
      <c r="AM4" s="106"/>
      <c r="AN4" s="106"/>
      <c r="AO4" s="106"/>
      <c r="AP4" s="106"/>
      <c r="AQ4" s="106"/>
      <c r="AR4" s="106"/>
      <c r="AS4" s="106"/>
      <c r="AT4" s="106"/>
      <c r="AU4" s="106"/>
      <c r="AV4" s="107" t="s">
        <v>81</v>
      </c>
      <c r="AW4" s="106"/>
      <c r="AX4" s="106"/>
      <c r="AY4" s="106"/>
      <c r="AZ4" s="106"/>
      <c r="BA4" s="106"/>
      <c r="BB4" s="99"/>
      <c r="BC4" s="99"/>
      <c r="BD4" s="99"/>
      <c r="BE4" s="99"/>
      <c r="BF4" s="99"/>
    </row>
    <row r="5" s="81" customFormat="1" ht="41" customHeight="1" spans="1:58">
      <c r="A5" s="85"/>
      <c r="B5" s="93">
        <v>1.4</v>
      </c>
      <c r="C5" s="113" t="s">
        <v>83</v>
      </c>
      <c r="D5" s="16" t="s">
        <v>84</v>
      </c>
      <c r="E5" s="16" t="s">
        <v>85</v>
      </c>
      <c r="F5" s="93">
        <v>3</v>
      </c>
      <c r="G5" s="93" t="s">
        <v>76</v>
      </c>
      <c r="H5" s="35">
        <v>46078</v>
      </c>
      <c r="I5" s="35">
        <f>H5+14</f>
        <v>46092</v>
      </c>
      <c r="J5" s="117" t="s">
        <v>77</v>
      </c>
      <c r="K5" s="119"/>
      <c r="L5" s="104"/>
      <c r="M5" s="108"/>
      <c r="N5" s="108"/>
      <c r="O5" s="108"/>
      <c r="P5" s="104"/>
      <c r="Q5" s="108"/>
      <c r="R5" s="108"/>
      <c r="S5" s="108"/>
      <c r="T5" s="108"/>
      <c r="U5" s="104"/>
      <c r="V5" s="108"/>
      <c r="W5" s="108"/>
      <c r="X5" s="108"/>
      <c r="Y5" s="108"/>
      <c r="Z5" s="104"/>
      <c r="AA5" s="106"/>
      <c r="AB5" s="107" t="s">
        <v>78</v>
      </c>
      <c r="AC5" s="106"/>
      <c r="AD5" s="106"/>
      <c r="AE5" s="106"/>
      <c r="AF5" s="107" t="s">
        <v>86</v>
      </c>
      <c r="AG5" s="106"/>
      <c r="AH5" s="106"/>
      <c r="AI5" s="106"/>
      <c r="AJ5" s="106"/>
      <c r="AK5" s="107" t="s">
        <v>87</v>
      </c>
      <c r="AL5" s="106"/>
      <c r="AM5" s="106"/>
      <c r="AN5" s="106"/>
      <c r="AO5" s="106"/>
      <c r="AP5" s="107" t="s">
        <v>88</v>
      </c>
      <c r="AQ5" s="99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99"/>
      <c r="BC5" s="99"/>
      <c r="BD5" s="99"/>
      <c r="BE5" s="99"/>
      <c r="BF5" s="99"/>
    </row>
    <row r="6" s="81" customFormat="1" customHeight="1" spans="1:58">
      <c r="A6" s="85"/>
      <c r="B6" s="93"/>
      <c r="C6" s="113"/>
      <c r="D6" s="16"/>
      <c r="E6" s="16"/>
      <c r="F6" s="93"/>
      <c r="G6" s="93" t="s">
        <v>82</v>
      </c>
      <c r="H6" s="35">
        <v>46076</v>
      </c>
      <c r="I6" s="35"/>
      <c r="J6" s="117"/>
      <c r="K6" s="119"/>
      <c r="L6" s="106"/>
      <c r="M6" s="106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7" t="s">
        <v>78</v>
      </c>
      <c r="AA6" s="106"/>
      <c r="AB6" s="106"/>
      <c r="AC6" s="106"/>
      <c r="AD6" s="107" t="s">
        <v>86</v>
      </c>
      <c r="AE6" s="106"/>
      <c r="AF6" s="106"/>
      <c r="AG6" s="106"/>
      <c r="AH6" s="106"/>
      <c r="AI6" s="107" t="s">
        <v>87</v>
      </c>
      <c r="AJ6" s="106"/>
      <c r="AK6" s="106"/>
      <c r="AL6" s="106"/>
      <c r="AM6" s="106"/>
      <c r="AO6" s="106"/>
      <c r="AP6" s="107" t="s">
        <v>88</v>
      </c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99"/>
      <c r="BC6" s="99"/>
      <c r="BD6" s="99"/>
      <c r="BE6" s="99"/>
      <c r="BF6" s="99"/>
    </row>
    <row r="7" s="82" customFormat="1" customHeight="1" spans="1:58">
      <c r="A7" s="85"/>
      <c r="B7" s="93">
        <v>1.6</v>
      </c>
      <c r="C7" s="113" t="s">
        <v>35</v>
      </c>
      <c r="D7" s="16" t="s">
        <v>89</v>
      </c>
      <c r="E7" s="16" t="s">
        <v>90</v>
      </c>
      <c r="F7" s="93">
        <v>3</v>
      </c>
      <c r="G7" s="93" t="s">
        <v>76</v>
      </c>
      <c r="H7" s="35">
        <v>46062</v>
      </c>
      <c r="I7" s="35">
        <v>46066</v>
      </c>
      <c r="J7" s="117" t="s">
        <v>91</v>
      </c>
      <c r="K7" s="93"/>
      <c r="L7" s="107" t="s">
        <v>78</v>
      </c>
      <c r="M7" s="106"/>
      <c r="N7" s="106"/>
      <c r="O7" s="106"/>
      <c r="P7" s="107" t="s">
        <v>92</v>
      </c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06"/>
      <c r="AU7" s="106"/>
      <c r="AV7" s="106"/>
      <c r="AW7" s="106"/>
      <c r="AX7" s="106"/>
      <c r="AY7" s="106"/>
      <c r="AZ7" s="106"/>
      <c r="BA7" s="106"/>
      <c r="BB7" s="121"/>
      <c r="BC7" s="121"/>
      <c r="BD7" s="121"/>
      <c r="BE7" s="121"/>
      <c r="BF7" s="121"/>
    </row>
    <row r="8" s="82" customFormat="1" customHeight="1" spans="1:58">
      <c r="A8" s="85"/>
      <c r="B8" s="93"/>
      <c r="C8" s="113"/>
      <c r="D8" s="16"/>
      <c r="E8" s="16"/>
      <c r="F8" s="93"/>
      <c r="G8" s="93" t="s">
        <v>82</v>
      </c>
      <c r="H8" s="35">
        <v>46073</v>
      </c>
      <c r="I8" s="35">
        <v>46077</v>
      </c>
      <c r="J8" s="117"/>
      <c r="K8" s="93"/>
      <c r="L8" s="99"/>
      <c r="M8" s="99"/>
      <c r="N8" s="110"/>
      <c r="O8" s="110"/>
      <c r="P8" s="110"/>
      <c r="Q8" s="110"/>
      <c r="R8" s="110"/>
      <c r="S8" s="110"/>
      <c r="T8" s="110"/>
      <c r="U8" s="110"/>
      <c r="V8" s="110"/>
      <c r="W8" s="121"/>
      <c r="X8" s="121"/>
      <c r="Y8" s="121"/>
      <c r="Z8" s="121"/>
      <c r="AA8" s="107" t="s">
        <v>78</v>
      </c>
      <c r="AB8" s="106"/>
      <c r="AC8" s="106"/>
      <c r="AD8" s="106"/>
      <c r="AE8" s="107" t="s">
        <v>92</v>
      </c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21"/>
      <c r="BC8" s="121"/>
      <c r="BD8" s="121"/>
      <c r="BE8" s="121"/>
      <c r="BF8" s="121"/>
    </row>
    <row r="9" s="79" customFormat="1" customHeight="1" spans="1:58">
      <c r="A9" s="85"/>
      <c r="B9" s="93">
        <v>1.7</v>
      </c>
      <c r="C9" s="113" t="s">
        <v>38</v>
      </c>
      <c r="D9" s="16" t="s">
        <v>93</v>
      </c>
      <c r="E9" s="16" t="s">
        <v>94</v>
      </c>
      <c r="F9" s="93">
        <v>3</v>
      </c>
      <c r="G9" s="93" t="s">
        <v>76</v>
      </c>
      <c r="H9" s="35">
        <v>46062</v>
      </c>
      <c r="I9" s="35">
        <v>46066</v>
      </c>
      <c r="J9" s="117" t="s">
        <v>91</v>
      </c>
      <c r="K9" s="93"/>
      <c r="L9" s="107" t="s">
        <v>78</v>
      </c>
      <c r="M9" s="106"/>
      <c r="N9" s="106"/>
      <c r="O9" s="110"/>
      <c r="P9" s="111" t="s">
        <v>95</v>
      </c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</row>
    <row r="10" s="79" customFormat="1" customHeight="1" spans="1:58">
      <c r="A10" s="85"/>
      <c r="B10" s="93"/>
      <c r="C10" s="113"/>
      <c r="D10" s="16"/>
      <c r="E10" s="16"/>
      <c r="F10" s="93"/>
      <c r="G10" s="93" t="s">
        <v>82</v>
      </c>
      <c r="H10" s="35">
        <v>46077</v>
      </c>
      <c r="I10" s="35">
        <v>46081</v>
      </c>
      <c r="J10" s="117"/>
      <c r="K10" s="93"/>
      <c r="L10" s="99"/>
      <c r="M10" s="99"/>
      <c r="N10" s="109"/>
      <c r="O10" s="109"/>
      <c r="P10" s="109"/>
      <c r="Q10" s="110"/>
      <c r="R10" s="109"/>
      <c r="S10" s="109"/>
      <c r="T10" s="109"/>
      <c r="U10" s="109"/>
      <c r="V10" s="109"/>
      <c r="W10" s="109"/>
      <c r="X10" s="109"/>
      <c r="Y10" s="109"/>
      <c r="Z10" s="109"/>
      <c r="AA10" s="110"/>
      <c r="AB10" s="110"/>
      <c r="AC10" s="110"/>
      <c r="AD10" s="110"/>
      <c r="AE10" s="110"/>
      <c r="AF10" s="110"/>
      <c r="AG10" s="110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09"/>
      <c r="BA10" s="109"/>
      <c r="BB10" s="110"/>
      <c r="BC10" s="110"/>
      <c r="BD10" s="110"/>
      <c r="BE10" s="110"/>
      <c r="BF10" s="110"/>
    </row>
    <row r="11" customHeight="1" spans="1:58">
      <c r="A11" s="85"/>
      <c r="B11" s="93">
        <v>1.8</v>
      </c>
      <c r="C11" s="113" t="s">
        <v>40</v>
      </c>
      <c r="D11" s="16" t="s">
        <v>96</v>
      </c>
      <c r="E11" s="16" t="s">
        <v>97</v>
      </c>
      <c r="F11" s="93">
        <v>3</v>
      </c>
      <c r="G11" s="93" t="s">
        <v>76</v>
      </c>
      <c r="H11" s="35">
        <v>46078</v>
      </c>
      <c r="I11" s="35">
        <f>H11+500/24+5</f>
        <v>46103.8333333333</v>
      </c>
      <c r="J11" s="117" t="s">
        <v>77</v>
      </c>
      <c r="K11" s="93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07" t="s">
        <v>78</v>
      </c>
      <c r="AC11" s="110"/>
      <c r="AD11" s="110"/>
      <c r="AE11" s="110"/>
      <c r="AF11" s="110"/>
      <c r="AG11" s="107" t="s">
        <v>98</v>
      </c>
      <c r="AH11" s="110"/>
      <c r="AI11" s="110"/>
      <c r="AJ11" s="110"/>
      <c r="AK11" s="110"/>
      <c r="AL11" s="107" t="s">
        <v>99</v>
      </c>
      <c r="AM11" s="110"/>
      <c r="AN11" s="110"/>
      <c r="AO11" s="110"/>
      <c r="AP11" s="110"/>
      <c r="AQ11" s="107" t="s">
        <v>100</v>
      </c>
      <c r="AR11" s="110"/>
      <c r="AS11" s="110"/>
      <c r="AT11" s="110"/>
      <c r="AU11" s="110"/>
      <c r="AV11" s="107" t="s">
        <v>101</v>
      </c>
      <c r="AW11" s="110"/>
      <c r="AX11" s="110"/>
      <c r="AY11" s="110"/>
      <c r="AZ11" s="110"/>
      <c r="BA11" s="107" t="s">
        <v>102</v>
      </c>
      <c r="BB11" s="110"/>
      <c r="BC11" s="110"/>
      <c r="BD11" s="110"/>
      <c r="BE11" s="110"/>
      <c r="BF11" s="110"/>
    </row>
    <row r="12" customHeight="1" spans="1:58">
      <c r="A12" s="85"/>
      <c r="B12" s="93"/>
      <c r="C12" s="113"/>
      <c r="D12" s="16"/>
      <c r="E12" s="16"/>
      <c r="F12" s="93"/>
      <c r="G12" s="93" t="s">
        <v>82</v>
      </c>
      <c r="H12" s="35">
        <v>46082</v>
      </c>
      <c r="I12" s="35"/>
      <c r="J12" s="117"/>
      <c r="K12" s="93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07" t="s">
        <v>78</v>
      </c>
      <c r="AG12" s="110"/>
      <c r="AH12" s="110"/>
      <c r="AI12" s="110"/>
      <c r="AJ12" s="110"/>
      <c r="AK12" s="107" t="s">
        <v>98</v>
      </c>
      <c r="AL12" s="110"/>
      <c r="AM12" s="110"/>
      <c r="AN12" s="110"/>
      <c r="AO12" s="110"/>
      <c r="AP12" s="107" t="s">
        <v>99</v>
      </c>
      <c r="AQ12" s="110"/>
      <c r="AR12" s="110"/>
      <c r="AS12" s="110"/>
      <c r="AT12" s="110"/>
      <c r="AU12" s="107" t="s">
        <v>100</v>
      </c>
      <c r="AV12" s="110"/>
      <c r="AW12" s="110"/>
      <c r="AX12" s="110"/>
      <c r="AY12" s="110"/>
      <c r="AZ12" s="107" t="s">
        <v>101</v>
      </c>
      <c r="BA12" s="110"/>
      <c r="BB12" s="110"/>
      <c r="BC12" s="110"/>
      <c r="BD12" s="110"/>
      <c r="BE12" s="107" t="s">
        <v>102</v>
      </c>
      <c r="BF12" s="110"/>
    </row>
    <row r="13" customHeight="1" spans="1:58">
      <c r="A13" s="85"/>
      <c r="B13" s="93">
        <v>2.2</v>
      </c>
      <c r="C13" s="113" t="s">
        <v>51</v>
      </c>
      <c r="D13" s="16" t="s">
        <v>103</v>
      </c>
      <c r="E13" s="16" t="s">
        <v>26</v>
      </c>
      <c r="F13" s="93">
        <v>3</v>
      </c>
      <c r="G13" s="93" t="s">
        <v>76</v>
      </c>
      <c r="H13" s="35">
        <v>46064</v>
      </c>
      <c r="I13" s="35">
        <v>46064</v>
      </c>
      <c r="J13" s="117" t="s">
        <v>91</v>
      </c>
      <c r="K13" s="93"/>
      <c r="L13" s="110"/>
      <c r="M13" s="110"/>
      <c r="N13" s="107" t="s">
        <v>78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</row>
    <row r="14" customHeight="1" spans="1:58">
      <c r="A14" s="85"/>
      <c r="B14" s="93"/>
      <c r="C14" s="113"/>
      <c r="D14" s="16"/>
      <c r="E14" s="16"/>
      <c r="F14" s="93"/>
      <c r="G14" s="93" t="s">
        <v>82</v>
      </c>
      <c r="H14" s="156">
        <v>46080</v>
      </c>
      <c r="I14" s="156">
        <v>46080</v>
      </c>
      <c r="J14" s="117"/>
      <c r="K14" s="93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</row>
    <row r="15" customHeight="1" spans="1:58">
      <c r="A15" s="85"/>
      <c r="B15" s="93">
        <v>3.3</v>
      </c>
      <c r="C15" s="113" t="s">
        <v>104</v>
      </c>
      <c r="D15" s="16" t="s">
        <v>105</v>
      </c>
      <c r="E15" s="16" t="s">
        <v>106</v>
      </c>
      <c r="F15" s="93">
        <v>10</v>
      </c>
      <c r="G15" s="93" t="s">
        <v>76</v>
      </c>
      <c r="H15" s="35">
        <v>46078</v>
      </c>
      <c r="I15" s="35">
        <v>46085</v>
      </c>
      <c r="J15" s="117" t="s">
        <v>77</v>
      </c>
      <c r="K15" s="93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07" t="s">
        <v>78</v>
      </c>
      <c r="AC15" s="110"/>
      <c r="AD15" s="110"/>
      <c r="AE15" s="110"/>
      <c r="AF15" s="110"/>
      <c r="AG15" s="110"/>
      <c r="AH15" s="110"/>
      <c r="AI15" s="107" t="s">
        <v>107</v>
      </c>
      <c r="AK15" s="110"/>
      <c r="AL15" s="110"/>
      <c r="AM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customHeight="1" spans="1:58">
      <c r="A16" s="85"/>
      <c r="B16" s="93"/>
      <c r="C16" s="113"/>
      <c r="D16" s="16"/>
      <c r="E16" s="16"/>
      <c r="F16" s="93"/>
      <c r="G16" s="93" t="s">
        <v>82</v>
      </c>
      <c r="H16" s="35">
        <f>I16-7</f>
        <v>46086</v>
      </c>
      <c r="I16" s="34">
        <v>46093</v>
      </c>
      <c r="J16" s="117"/>
      <c r="K16" s="93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07" t="s">
        <v>78</v>
      </c>
      <c r="AI16" s="110"/>
      <c r="AJ16" s="110"/>
      <c r="AK16" s="110"/>
      <c r="AL16" s="110"/>
      <c r="AM16" s="110"/>
      <c r="AN16" s="110"/>
      <c r="AO16" s="107" t="s">
        <v>107</v>
      </c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customHeight="1" spans="3:9">
      <c r="C17" s="114"/>
      <c r="D17" s="115"/>
      <c r="E17" s="115"/>
      <c r="H17" s="116"/>
      <c r="I17" s="120"/>
    </row>
    <row r="18" s="79" customFormat="1" customHeight="1" spans="2:11">
      <c r="B18" s="80" t="s">
        <v>108</v>
      </c>
      <c r="C18" s="83"/>
      <c r="D18" s="83"/>
      <c r="E18" s="83"/>
      <c r="F18" s="80"/>
      <c r="G18" s="80"/>
      <c r="H18" s="80"/>
      <c r="I18" s="80"/>
      <c r="J18" s="80"/>
      <c r="K18" s="80"/>
    </row>
    <row r="19" s="79" customFormat="1" customHeight="1" spans="2:11">
      <c r="B19" s="80" t="s">
        <v>76</v>
      </c>
      <c r="C19" s="83"/>
      <c r="D19" s="83"/>
      <c r="E19" s="83"/>
      <c r="F19" s="80"/>
      <c r="G19" s="80"/>
      <c r="H19" s="80"/>
      <c r="I19" s="80"/>
      <c r="J19" s="80"/>
      <c r="K19" s="80"/>
    </row>
    <row r="20" s="79" customFormat="1" customHeight="1" spans="2:11">
      <c r="B20" s="80" t="s">
        <v>82</v>
      </c>
      <c r="C20" s="83"/>
      <c r="D20" s="83"/>
      <c r="E20" s="83"/>
      <c r="F20" s="80"/>
      <c r="G20" s="80"/>
      <c r="H20" s="80"/>
      <c r="I20" s="80"/>
      <c r="J20" s="80"/>
      <c r="K20" s="80"/>
    </row>
    <row r="21" s="79" customFormat="1" customHeight="1" spans="2:11">
      <c r="B21" s="92"/>
      <c r="C21" s="83"/>
      <c r="D21" s="83"/>
      <c r="E21" s="83"/>
      <c r="F21" s="80"/>
      <c r="G21" s="80"/>
      <c r="H21" s="80"/>
      <c r="I21" s="80"/>
      <c r="J21" s="80"/>
      <c r="K21" s="80"/>
    </row>
  </sheetData>
  <mergeCells count="50">
    <mergeCell ref="A3:A16"/>
    <mergeCell ref="B3:B4"/>
    <mergeCell ref="B5:B6"/>
    <mergeCell ref="B7:B8"/>
    <mergeCell ref="B9:B10"/>
    <mergeCell ref="B11:B12"/>
    <mergeCell ref="B13:B14"/>
    <mergeCell ref="B15:B16"/>
    <mergeCell ref="C3:C4"/>
    <mergeCell ref="C5:C6"/>
    <mergeCell ref="C7:C8"/>
    <mergeCell ref="C9:C10"/>
    <mergeCell ref="C11:C12"/>
    <mergeCell ref="C13:C14"/>
    <mergeCell ref="C15:C16"/>
    <mergeCell ref="D3:D4"/>
    <mergeCell ref="D5:D6"/>
    <mergeCell ref="D7:D8"/>
    <mergeCell ref="D9:D10"/>
    <mergeCell ref="D11:D12"/>
    <mergeCell ref="D13:D14"/>
    <mergeCell ref="D15:D16"/>
    <mergeCell ref="E3:E4"/>
    <mergeCell ref="E5:E6"/>
    <mergeCell ref="E7:E8"/>
    <mergeCell ref="E9:E10"/>
    <mergeCell ref="E11:E12"/>
    <mergeCell ref="E13:E14"/>
    <mergeCell ref="E15:E16"/>
    <mergeCell ref="F3:F4"/>
    <mergeCell ref="F5:F6"/>
    <mergeCell ref="F7:F8"/>
    <mergeCell ref="F9:F10"/>
    <mergeCell ref="F11:F12"/>
    <mergeCell ref="F13:F14"/>
    <mergeCell ref="F15:F16"/>
    <mergeCell ref="J3:J4"/>
    <mergeCell ref="J5:J6"/>
    <mergeCell ref="J7:J8"/>
    <mergeCell ref="J9:J10"/>
    <mergeCell ref="J11:J12"/>
    <mergeCell ref="J13:J14"/>
    <mergeCell ref="J15:J16"/>
    <mergeCell ref="K3:K4"/>
    <mergeCell ref="K5:K6"/>
    <mergeCell ref="K7:K8"/>
    <mergeCell ref="K9:K10"/>
    <mergeCell ref="K11:K12"/>
    <mergeCell ref="K13:K14"/>
    <mergeCell ref="K15:K16"/>
  </mergeCells>
  <conditionalFormatting sqref="J3">
    <cfRule type="cellIs" dxfId="0" priority="20" operator="equal">
      <formula>"Ongoing"</formula>
    </cfRule>
    <cfRule type="cellIs" dxfId="1" priority="19" operator="equal">
      <formula>"Not started"</formula>
    </cfRule>
    <cfRule type="cellIs" dxfId="2" priority="18" operator="equal">
      <formula>"Completed"</formula>
    </cfRule>
    <cfRule type="cellIs" dxfId="3" priority="17" operator="equal">
      <formula>"Termination"</formula>
    </cfRule>
    <cfRule type="cellIs" dxfId="4" priority="16" operator="equal">
      <formula>"Delayed"</formula>
    </cfRule>
  </conditionalFormatting>
  <conditionalFormatting sqref="J5">
    <cfRule type="cellIs" dxfId="0" priority="35" operator="equal">
      <formula>"Ongoing"</formula>
    </cfRule>
    <cfRule type="cellIs" dxfId="1" priority="34" operator="equal">
      <formula>"Not started"</formula>
    </cfRule>
    <cfRule type="cellIs" dxfId="2" priority="33" operator="equal">
      <formula>"Completed"</formula>
    </cfRule>
    <cfRule type="cellIs" dxfId="3" priority="32" operator="equal">
      <formula>"Termination"</formula>
    </cfRule>
    <cfRule type="cellIs" dxfId="4" priority="31" operator="equal">
      <formula>"Delayed"</formula>
    </cfRule>
  </conditionalFormatting>
  <conditionalFormatting sqref="J7">
    <cfRule type="cellIs" dxfId="0" priority="30" operator="equal">
      <formula>"Ongoing"</formula>
    </cfRule>
    <cfRule type="cellIs" dxfId="1" priority="29" operator="equal">
      <formula>"Not started"</formula>
    </cfRule>
    <cfRule type="cellIs" dxfId="2" priority="28" operator="equal">
      <formula>"Completed"</formula>
    </cfRule>
    <cfRule type="cellIs" dxfId="3" priority="27" operator="equal">
      <formula>"Termination"</formula>
    </cfRule>
    <cfRule type="cellIs" dxfId="4" priority="26" operator="equal">
      <formula>"Delayed"</formula>
    </cfRule>
  </conditionalFormatting>
  <conditionalFormatting sqref="J9">
    <cfRule type="cellIs" dxfId="0" priority="25" operator="equal">
      <formula>"Ongoing"</formula>
    </cfRule>
    <cfRule type="cellIs" dxfId="1" priority="24" operator="equal">
      <formula>"Not started"</formula>
    </cfRule>
    <cfRule type="cellIs" dxfId="2" priority="23" operator="equal">
      <formula>"Completed"</formula>
    </cfRule>
    <cfRule type="cellIs" dxfId="3" priority="22" operator="equal">
      <formula>"Termination"</formula>
    </cfRule>
    <cfRule type="cellIs" dxfId="4" priority="21" operator="equal">
      <formula>"Delayed"</formula>
    </cfRule>
  </conditionalFormatting>
  <conditionalFormatting sqref="J11">
    <cfRule type="cellIs" dxfId="0" priority="15" operator="equal">
      <formula>"Ongoing"</formula>
    </cfRule>
    <cfRule type="cellIs" dxfId="1" priority="14" operator="equal">
      <formula>"Not started"</formula>
    </cfRule>
    <cfRule type="cellIs" dxfId="2" priority="13" operator="equal">
      <formula>"Completed"</formula>
    </cfRule>
    <cfRule type="cellIs" dxfId="3" priority="12" operator="equal">
      <formula>"Termination"</formula>
    </cfRule>
    <cfRule type="cellIs" dxfId="4" priority="11" operator="equal">
      <formula>"Delayed"</formula>
    </cfRule>
  </conditionalFormatting>
  <conditionalFormatting sqref="J13">
    <cfRule type="cellIs" dxfId="0" priority="10" operator="equal">
      <formula>"Ongoing"</formula>
    </cfRule>
    <cfRule type="cellIs" dxfId="1" priority="9" operator="equal">
      <formula>"Not started"</formula>
    </cfRule>
    <cfRule type="cellIs" dxfId="2" priority="8" operator="equal">
      <formula>"Completed"</formula>
    </cfRule>
    <cfRule type="cellIs" dxfId="3" priority="7" operator="equal">
      <formula>"Termination"</formula>
    </cfRule>
    <cfRule type="cellIs" dxfId="4" priority="6" operator="equal">
      <formula>"Delayed"</formula>
    </cfRule>
  </conditionalFormatting>
  <conditionalFormatting sqref="J15">
    <cfRule type="cellIs" dxfId="0" priority="5" operator="equal">
      <formula>"Ongoing"</formula>
    </cfRule>
    <cfRule type="cellIs" dxfId="1" priority="4" operator="equal">
      <formula>"Not started"</formula>
    </cfRule>
    <cfRule type="cellIs" dxfId="2" priority="3" operator="equal">
      <formula>"Completed"</formula>
    </cfRule>
    <cfRule type="cellIs" dxfId="3" priority="2" operator="equal">
      <formula>"Termination"</formula>
    </cfRule>
    <cfRule type="cellIs" dxfId="4" priority="1" operator="equal">
      <formula>"Delayed"</formula>
    </cfRule>
  </conditionalFormatting>
  <dataValidations count="1">
    <dataValidation type="list" allowBlank="1" showInputMessage="1" showErrorMessage="1" sqref="J3 J5 J7 J9 J11 J13 J15">
      <formula1>"Ongoing,Not started,Completed,Termination,Delayed"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U138"/>
  <sheetViews>
    <sheetView tabSelected="1" zoomScale="130" zoomScaleNormal="130" topLeftCell="G1" workbookViewId="0">
      <selection activeCell="L6" sqref="L6"/>
    </sheetView>
  </sheetViews>
  <sheetFormatPr defaultColWidth="8.73333333333333" defaultRowHeight="14.25"/>
  <cols>
    <col min="1" max="2" width="8.81333333333333" style="6" hidden="1" customWidth="1"/>
    <col min="3" max="3" width="8.81333333333333" style="6" customWidth="1"/>
    <col min="4" max="4" width="19.5466666666667" style="6" customWidth="1"/>
    <col min="5" max="5" width="13.0755555555556" style="6" customWidth="1"/>
    <col min="6" max="6" width="24.4533333333333" style="6" customWidth="1"/>
    <col min="7" max="7" width="8.22666666666667" style="6" customWidth="1"/>
    <col min="8" max="8" width="16.4888888888889" style="6" hidden="1" customWidth="1"/>
    <col min="9" max="9" width="13.1777777777778" style="6" hidden="1" customWidth="1"/>
    <col min="10" max="10" width="37.1377777777778" style="6" customWidth="1"/>
    <col min="11" max="11" width="16.9822222222222" style="30" customWidth="1"/>
    <col min="12" max="12" width="21.5822222222222" style="2" customWidth="1"/>
    <col min="13" max="13" width="16.9822222222222" style="30" customWidth="1"/>
    <col min="14" max="14" width="18.2488888888889" style="6" customWidth="1"/>
    <col min="15" max="15" width="19.2044444444444" style="30" customWidth="1"/>
    <col min="16" max="16" width="23.3244444444444" style="30" customWidth="1"/>
    <col min="17" max="17" width="13.6311111111111" style="31" customWidth="1"/>
    <col min="18" max="18" width="15.0755555555556" style="7" customWidth="1"/>
    <col min="19" max="19" width="10.2666666666667" style="31" customWidth="1"/>
    <col min="20" max="20" width="14.6" style="7" customWidth="1"/>
    <col min="21" max="21" width="58.64" style="6" customWidth="1"/>
    <col min="22" max="16384" width="8.73333333333333" style="6"/>
  </cols>
  <sheetData>
    <row r="1" spans="21:21">
      <c r="U1" s="78"/>
    </row>
    <row r="2" ht="40.5" spans="1:21">
      <c r="A2" s="8" t="s">
        <v>109</v>
      </c>
      <c r="B2" s="8" t="s">
        <v>110</v>
      </c>
      <c r="C2" s="8" t="s">
        <v>111</v>
      </c>
      <c r="D2" s="12" t="s">
        <v>112</v>
      </c>
      <c r="E2" s="13" t="s">
        <v>63</v>
      </c>
      <c r="F2" s="13" t="s">
        <v>113</v>
      </c>
      <c r="G2" s="13" t="s">
        <v>114</v>
      </c>
      <c r="H2" s="13" t="s">
        <v>115</v>
      </c>
      <c r="I2" s="38" t="s">
        <v>116</v>
      </c>
      <c r="J2" s="136" t="s">
        <v>108</v>
      </c>
      <c r="K2" s="137" t="s">
        <v>117</v>
      </c>
      <c r="L2" s="61" t="s">
        <v>118</v>
      </c>
      <c r="M2" s="146" t="s">
        <v>119</v>
      </c>
      <c r="N2" s="40" t="s">
        <v>120</v>
      </c>
      <c r="O2" s="147" t="s">
        <v>121</v>
      </c>
      <c r="P2" s="62" t="s">
        <v>122</v>
      </c>
      <c r="Q2" s="62" t="s">
        <v>123</v>
      </c>
      <c r="R2" s="75" t="s">
        <v>124</v>
      </c>
      <c r="S2" s="62" t="s">
        <v>125</v>
      </c>
      <c r="T2" s="75" t="s">
        <v>126</v>
      </c>
      <c r="U2" s="23" t="s">
        <v>127</v>
      </c>
    </row>
    <row r="3" spans="1:21">
      <c r="A3" s="9"/>
      <c r="B3" s="9" t="s">
        <v>128</v>
      </c>
      <c r="C3" s="127" t="s">
        <v>129</v>
      </c>
      <c r="D3" s="128" t="s">
        <v>130</v>
      </c>
      <c r="E3" s="9" t="s">
        <v>131</v>
      </c>
      <c r="F3" s="9" t="s">
        <v>132</v>
      </c>
      <c r="G3" s="9" t="s">
        <v>78</v>
      </c>
      <c r="H3" s="135">
        <v>46061</v>
      </c>
      <c r="I3" s="57" t="s">
        <v>77</v>
      </c>
      <c r="J3" s="138"/>
      <c r="K3" s="123">
        <v>64.642132</v>
      </c>
      <c r="L3" s="139">
        <v>0</v>
      </c>
      <c r="M3" s="123">
        <v>402.541601</v>
      </c>
      <c r="N3" s="139">
        <v>0</v>
      </c>
      <c r="O3" s="123">
        <v>29.705246</v>
      </c>
      <c r="P3" s="139">
        <v>0</v>
      </c>
      <c r="Q3" s="123">
        <v>0.373885</v>
      </c>
      <c r="R3" s="139">
        <v>0</v>
      </c>
      <c r="S3" s="123">
        <v>0.361619</v>
      </c>
      <c r="T3" s="139">
        <v>0</v>
      </c>
      <c r="U3" s="28"/>
    </row>
    <row r="4" spans="1:21">
      <c r="A4" s="9"/>
      <c r="B4" s="9" t="s">
        <v>128</v>
      </c>
      <c r="C4" s="129"/>
      <c r="D4" s="15"/>
      <c r="E4" s="9"/>
      <c r="F4" s="9"/>
      <c r="G4" s="9" t="s">
        <v>92</v>
      </c>
      <c r="H4" s="135">
        <v>46080</v>
      </c>
      <c r="I4" s="57"/>
      <c r="J4" s="138"/>
      <c r="K4" s="123">
        <v>61.998947</v>
      </c>
      <c r="L4" s="139">
        <v>-0.0409</v>
      </c>
      <c r="M4" s="123">
        <v>427.207302</v>
      </c>
      <c r="N4" s="139">
        <v>-0.0613</v>
      </c>
      <c r="O4" s="123">
        <v>28.235203</v>
      </c>
      <c r="P4" s="139">
        <v>0.0495</v>
      </c>
      <c r="Q4" s="123">
        <v>0.426307</v>
      </c>
      <c r="R4" s="139">
        <v>-0.1402</v>
      </c>
      <c r="S4" s="123">
        <v>0.385813</v>
      </c>
      <c r="T4" s="139">
        <v>-0.0669</v>
      </c>
      <c r="U4" s="28"/>
    </row>
    <row r="5" spans="1:21">
      <c r="A5" s="9"/>
      <c r="B5" s="9" t="s">
        <v>128</v>
      </c>
      <c r="C5" s="129"/>
      <c r="D5" s="15"/>
      <c r="E5" s="9"/>
      <c r="F5" s="9"/>
      <c r="G5" s="9" t="s">
        <v>107</v>
      </c>
      <c r="H5" s="135">
        <v>46087</v>
      </c>
      <c r="I5" s="57"/>
      <c r="J5" s="138"/>
      <c r="K5" s="123">
        <v>70.286238</v>
      </c>
      <c r="L5" s="139">
        <v>0.0873</v>
      </c>
      <c r="M5" s="123">
        <v>378.563987</v>
      </c>
      <c r="N5" s="139">
        <v>0.0596</v>
      </c>
      <c r="O5" s="123">
        <v>27.277016</v>
      </c>
      <c r="P5" s="139">
        <v>0.0817</v>
      </c>
      <c r="Q5" s="123">
        <v>0.443795</v>
      </c>
      <c r="R5" s="139">
        <v>-0.187</v>
      </c>
      <c r="S5" s="123">
        <v>0.371043</v>
      </c>
      <c r="T5" s="139">
        <v>-0.0261</v>
      </c>
      <c r="U5" s="28"/>
    </row>
    <row r="6" spans="1:21">
      <c r="A6" s="9"/>
      <c r="B6" s="9" t="s">
        <v>128</v>
      </c>
      <c r="C6" s="130"/>
      <c r="D6" s="15"/>
      <c r="E6" s="9"/>
      <c r="F6" s="9"/>
      <c r="G6" s="9" t="s">
        <v>133</v>
      </c>
      <c r="H6" s="123"/>
      <c r="I6" s="57"/>
      <c r="J6" s="138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28"/>
    </row>
    <row r="7" spans="1:21">
      <c r="A7" s="9"/>
      <c r="B7" s="9" t="s">
        <v>128</v>
      </c>
      <c r="C7" s="127" t="s">
        <v>129</v>
      </c>
      <c r="D7" s="15"/>
      <c r="E7" s="9" t="s">
        <v>134</v>
      </c>
      <c r="F7" s="9" t="s">
        <v>135</v>
      </c>
      <c r="G7" s="9" t="s">
        <v>78</v>
      </c>
      <c r="H7" s="135">
        <v>46061</v>
      </c>
      <c r="I7" s="57"/>
      <c r="J7" s="138"/>
      <c r="K7" s="123">
        <v>78.151583</v>
      </c>
      <c r="L7" s="139">
        <v>0</v>
      </c>
      <c r="M7" s="123">
        <v>348.673965</v>
      </c>
      <c r="N7" s="139">
        <v>0</v>
      </c>
      <c r="O7" s="123">
        <v>28.244178</v>
      </c>
      <c r="P7" s="139">
        <v>0</v>
      </c>
      <c r="Q7" s="123">
        <v>0.45151</v>
      </c>
      <c r="R7" s="139">
        <v>0</v>
      </c>
      <c r="S7" s="123">
        <v>0.367767</v>
      </c>
      <c r="T7" s="139">
        <v>0</v>
      </c>
      <c r="U7" s="28"/>
    </row>
    <row r="8" spans="1:21">
      <c r="A8" s="9"/>
      <c r="B8" s="9" t="s">
        <v>128</v>
      </c>
      <c r="C8" s="129"/>
      <c r="D8" s="15"/>
      <c r="E8" s="9"/>
      <c r="F8" s="9"/>
      <c r="G8" s="9" t="s">
        <v>92</v>
      </c>
      <c r="H8" s="135">
        <v>46080</v>
      </c>
      <c r="I8" s="57"/>
      <c r="J8" s="138"/>
      <c r="K8" s="123">
        <v>69.040739</v>
      </c>
      <c r="L8" s="139">
        <v>0.1166</v>
      </c>
      <c r="M8" s="123">
        <v>338.657097</v>
      </c>
      <c r="N8" s="139">
        <v>0.0287</v>
      </c>
      <c r="O8" s="123">
        <v>23.696116</v>
      </c>
      <c r="P8" s="139">
        <v>0.161</v>
      </c>
      <c r="Q8" s="123">
        <v>0.425761</v>
      </c>
      <c r="R8" s="139">
        <v>0.057</v>
      </c>
      <c r="S8" s="123">
        <v>0.330672</v>
      </c>
      <c r="T8" s="139">
        <v>0.1009</v>
      </c>
      <c r="U8" s="28"/>
    </row>
    <row r="9" spans="1:21">
      <c r="A9" s="9"/>
      <c r="B9" s="9" t="s">
        <v>128</v>
      </c>
      <c r="C9" s="129"/>
      <c r="D9" s="15"/>
      <c r="E9" s="9"/>
      <c r="F9" s="9"/>
      <c r="G9" s="9" t="s">
        <v>107</v>
      </c>
      <c r="H9" s="135">
        <v>46087</v>
      </c>
      <c r="I9" s="57"/>
      <c r="J9" s="138"/>
      <c r="K9" s="123">
        <v>73.207236</v>
      </c>
      <c r="L9" s="139">
        <v>0.0633</v>
      </c>
      <c r="M9" s="123">
        <v>323.262523</v>
      </c>
      <c r="N9" s="139">
        <v>0.0729</v>
      </c>
      <c r="O9" s="123">
        <v>26.063402</v>
      </c>
      <c r="P9" s="139">
        <v>0.0772</v>
      </c>
      <c r="Q9" s="123">
        <v>0.483998</v>
      </c>
      <c r="R9" s="139">
        <v>-0.072</v>
      </c>
      <c r="S9" s="123">
        <v>0.363183</v>
      </c>
      <c r="T9" s="139">
        <v>0.0125</v>
      </c>
      <c r="U9" s="28"/>
    </row>
    <row r="10" spans="1:21">
      <c r="A10" s="9"/>
      <c r="B10" s="9" t="s">
        <v>128</v>
      </c>
      <c r="C10" s="130"/>
      <c r="D10" s="15"/>
      <c r="E10" s="9"/>
      <c r="F10" s="9"/>
      <c r="G10" s="9" t="s">
        <v>133</v>
      </c>
      <c r="H10" s="123"/>
      <c r="I10" s="57"/>
      <c r="J10" s="138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28"/>
    </row>
    <row r="11" spans="1:21">
      <c r="A11" s="9"/>
      <c r="B11" s="9" t="s">
        <v>128</v>
      </c>
      <c r="C11" s="127" t="s">
        <v>129</v>
      </c>
      <c r="D11" s="15"/>
      <c r="E11" s="9" t="s">
        <v>136</v>
      </c>
      <c r="F11" s="9" t="s">
        <v>137</v>
      </c>
      <c r="G11" s="9" t="s">
        <v>78</v>
      </c>
      <c r="H11" s="135">
        <v>46061</v>
      </c>
      <c r="I11" s="57"/>
      <c r="J11" s="138"/>
      <c r="K11" s="123">
        <v>57.984641</v>
      </c>
      <c r="L11" s="139">
        <v>0</v>
      </c>
      <c r="M11" s="123">
        <v>440.883965</v>
      </c>
      <c r="N11" s="139">
        <v>0</v>
      </c>
      <c r="O11" s="123">
        <v>29.199946</v>
      </c>
      <c r="P11" s="139">
        <v>0</v>
      </c>
      <c r="Q11" s="123">
        <v>0.429787</v>
      </c>
      <c r="R11" s="139">
        <v>0</v>
      </c>
      <c r="S11" s="123">
        <v>0.310578</v>
      </c>
      <c r="T11" s="139">
        <v>0</v>
      </c>
      <c r="U11" s="28"/>
    </row>
    <row r="12" spans="1:21">
      <c r="A12" s="9"/>
      <c r="B12" s="9" t="s">
        <v>128</v>
      </c>
      <c r="C12" s="129"/>
      <c r="D12" s="15"/>
      <c r="E12" s="9"/>
      <c r="F12" s="9"/>
      <c r="G12" s="9" t="s">
        <v>92</v>
      </c>
      <c r="H12" s="135">
        <v>46080</v>
      </c>
      <c r="I12" s="57"/>
      <c r="J12" s="138"/>
      <c r="K12" s="123">
        <v>53.197097</v>
      </c>
      <c r="L12" s="139">
        <v>0.0826</v>
      </c>
      <c r="M12" s="123">
        <v>414.120337</v>
      </c>
      <c r="N12" s="139">
        <v>0.0607</v>
      </c>
      <c r="O12" s="123">
        <v>22.780656</v>
      </c>
      <c r="P12" s="148">
        <v>0.2198</v>
      </c>
      <c r="Q12" s="123">
        <v>0.458919</v>
      </c>
      <c r="R12" s="139">
        <v>-0.0678</v>
      </c>
      <c r="S12" s="123">
        <v>0.29749</v>
      </c>
      <c r="T12" s="139">
        <v>0.0421</v>
      </c>
      <c r="U12" s="28"/>
    </row>
    <row r="13" spans="1:21">
      <c r="A13" s="9"/>
      <c r="B13" s="9" t="s">
        <v>128</v>
      </c>
      <c r="C13" s="129"/>
      <c r="D13" s="15"/>
      <c r="E13" s="9"/>
      <c r="F13" s="9"/>
      <c r="G13" s="9" t="s">
        <v>107</v>
      </c>
      <c r="H13" s="135">
        <v>46087</v>
      </c>
      <c r="I13" s="57"/>
      <c r="J13" s="138"/>
      <c r="K13" s="123">
        <v>66.344448</v>
      </c>
      <c r="L13" s="139">
        <v>-0.1442</v>
      </c>
      <c r="M13" s="123">
        <v>405.295514</v>
      </c>
      <c r="N13" s="139">
        <v>0.0807</v>
      </c>
      <c r="O13" s="123">
        <v>27.56793</v>
      </c>
      <c r="P13" s="139">
        <v>0.0559</v>
      </c>
      <c r="Q13" s="123">
        <v>0.466482</v>
      </c>
      <c r="R13" s="139">
        <v>-0.0854</v>
      </c>
      <c r="S13" s="123">
        <v>0.352456</v>
      </c>
      <c r="T13" s="139">
        <v>-0.1348</v>
      </c>
      <c r="U13" s="28"/>
    </row>
    <row r="14" spans="1:21">
      <c r="A14" s="9"/>
      <c r="B14" s="9" t="s">
        <v>128</v>
      </c>
      <c r="C14" s="130"/>
      <c r="D14" s="15"/>
      <c r="E14" s="9"/>
      <c r="F14" s="9"/>
      <c r="G14" s="9" t="s">
        <v>133</v>
      </c>
      <c r="H14" s="123"/>
      <c r="I14" s="57"/>
      <c r="J14" s="138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28"/>
    </row>
    <row r="15" spans="1:21">
      <c r="A15" s="9"/>
      <c r="B15" s="9" t="s">
        <v>128</v>
      </c>
      <c r="C15" s="127" t="s">
        <v>129</v>
      </c>
      <c r="D15" s="128" t="s">
        <v>138</v>
      </c>
      <c r="E15" s="9" t="s">
        <v>131</v>
      </c>
      <c r="F15" s="16" t="s">
        <v>139</v>
      </c>
      <c r="G15" s="9" t="s">
        <v>78</v>
      </c>
      <c r="H15" s="135">
        <v>46061</v>
      </c>
      <c r="I15" s="57" t="s">
        <v>77</v>
      </c>
      <c r="J15" s="140" t="s">
        <v>140</v>
      </c>
      <c r="K15" s="123">
        <v>66.246975</v>
      </c>
      <c r="L15" s="139">
        <v>0</v>
      </c>
      <c r="M15" s="123">
        <v>432.677831</v>
      </c>
      <c r="N15" s="139">
        <v>0</v>
      </c>
      <c r="O15" s="123">
        <v>23.098072</v>
      </c>
      <c r="P15" s="139">
        <v>0</v>
      </c>
      <c r="Q15" s="123">
        <v>0.340653</v>
      </c>
      <c r="R15" s="139">
        <v>0</v>
      </c>
      <c r="S15" s="123">
        <v>0.447966</v>
      </c>
      <c r="T15" s="139">
        <v>0</v>
      </c>
      <c r="U15" s="28"/>
    </row>
    <row r="16" spans="1:21">
      <c r="A16" s="9"/>
      <c r="B16" s="9" t="s">
        <v>128</v>
      </c>
      <c r="C16" s="129"/>
      <c r="D16" s="15"/>
      <c r="E16" s="9"/>
      <c r="F16" s="16"/>
      <c r="G16" s="9" t="s">
        <v>141</v>
      </c>
      <c r="H16" s="135">
        <v>46080</v>
      </c>
      <c r="I16" s="57"/>
      <c r="J16" s="141"/>
      <c r="K16" s="123">
        <v>55.00686</v>
      </c>
      <c r="L16" s="139">
        <v>0.1697</v>
      </c>
      <c r="M16" s="123">
        <v>483.78067</v>
      </c>
      <c r="N16" s="139">
        <v>-0.1181</v>
      </c>
      <c r="O16" s="123">
        <v>23.327196</v>
      </c>
      <c r="P16" s="139">
        <v>-0.0099</v>
      </c>
      <c r="Q16" s="123">
        <v>0.332985</v>
      </c>
      <c r="R16" s="139">
        <v>0.0225</v>
      </c>
      <c r="S16" s="123">
        <v>0.447537</v>
      </c>
      <c r="T16" s="139">
        <v>0.001</v>
      </c>
      <c r="U16" s="28"/>
    </row>
    <row r="17" spans="1:21">
      <c r="A17" s="9"/>
      <c r="B17" s="9" t="s">
        <v>128</v>
      </c>
      <c r="C17" s="129"/>
      <c r="D17" s="15"/>
      <c r="E17" s="9"/>
      <c r="F17" s="16"/>
      <c r="G17" s="9" t="s">
        <v>142</v>
      </c>
      <c r="H17" s="135">
        <v>46085</v>
      </c>
      <c r="I17" s="57"/>
      <c r="J17" s="141"/>
      <c r="K17" s="123">
        <v>55.776568</v>
      </c>
      <c r="L17" s="139">
        <v>0.1581</v>
      </c>
      <c r="M17" s="123">
        <v>403.213084</v>
      </c>
      <c r="N17" s="139">
        <v>0.0681</v>
      </c>
      <c r="O17" s="123">
        <v>20.436961</v>
      </c>
      <c r="P17" s="139">
        <v>0.1151</v>
      </c>
      <c r="Q17" s="123">
        <v>0.287547</v>
      </c>
      <c r="R17" s="139">
        <v>0.1559</v>
      </c>
      <c r="S17" s="123">
        <v>0.397524</v>
      </c>
      <c r="T17" s="139">
        <v>0.1126</v>
      </c>
      <c r="U17" s="28"/>
    </row>
    <row r="18" spans="1:21">
      <c r="A18" s="9"/>
      <c r="B18" s="9" t="s">
        <v>128</v>
      </c>
      <c r="C18" s="130"/>
      <c r="D18" s="15"/>
      <c r="E18" s="9"/>
      <c r="F18" s="16"/>
      <c r="G18" s="9" t="s">
        <v>143</v>
      </c>
      <c r="H18" s="123"/>
      <c r="I18" s="57"/>
      <c r="J18" s="141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28"/>
    </row>
    <row r="19" spans="1:21">
      <c r="A19" s="9"/>
      <c r="B19" s="9" t="s">
        <v>128</v>
      </c>
      <c r="C19" s="127" t="s">
        <v>129</v>
      </c>
      <c r="D19" s="15"/>
      <c r="E19" s="9" t="s">
        <v>134</v>
      </c>
      <c r="F19" s="16" t="s">
        <v>144</v>
      </c>
      <c r="G19" s="9" t="s">
        <v>78</v>
      </c>
      <c r="H19" s="135">
        <v>46061</v>
      </c>
      <c r="I19" s="57"/>
      <c r="J19" s="141"/>
      <c r="K19" s="123">
        <v>55.949297</v>
      </c>
      <c r="L19" s="139">
        <v>0</v>
      </c>
      <c r="M19" s="123">
        <v>445.950415</v>
      </c>
      <c r="N19" s="139">
        <v>0</v>
      </c>
      <c r="O19" s="123">
        <v>23.199946</v>
      </c>
      <c r="P19" s="139">
        <v>0</v>
      </c>
      <c r="Q19" s="123">
        <v>0.317664</v>
      </c>
      <c r="R19" s="139">
        <v>0</v>
      </c>
      <c r="S19" s="123">
        <v>0.349584</v>
      </c>
      <c r="T19" s="139">
        <v>0</v>
      </c>
      <c r="U19" s="28"/>
    </row>
    <row r="20" spans="1:21">
      <c r="A20" s="9"/>
      <c r="B20" s="9" t="s">
        <v>128</v>
      </c>
      <c r="C20" s="129"/>
      <c r="D20" s="15"/>
      <c r="E20" s="9"/>
      <c r="F20" s="16"/>
      <c r="G20" s="9" t="s">
        <v>141</v>
      </c>
      <c r="H20" s="135">
        <v>46080</v>
      </c>
      <c r="I20" s="57"/>
      <c r="J20" s="141"/>
      <c r="K20" s="123">
        <v>51.837296</v>
      </c>
      <c r="L20" s="139">
        <v>0.0735</v>
      </c>
      <c r="M20" s="123">
        <v>448.333872</v>
      </c>
      <c r="N20" s="139">
        <v>-0.0053</v>
      </c>
      <c r="O20" s="123">
        <v>22.581627</v>
      </c>
      <c r="P20" s="139">
        <v>0.0267</v>
      </c>
      <c r="Q20" s="123">
        <v>0.324907</v>
      </c>
      <c r="R20" s="139">
        <v>-0.0228</v>
      </c>
      <c r="S20" s="123">
        <v>0.356215</v>
      </c>
      <c r="T20" s="139">
        <v>-0.019</v>
      </c>
      <c r="U20" s="28"/>
    </row>
    <row r="21" spans="1:21">
      <c r="A21" s="9"/>
      <c r="B21" s="9" t="s">
        <v>128</v>
      </c>
      <c r="C21" s="129"/>
      <c r="D21" s="15"/>
      <c r="E21" s="9"/>
      <c r="F21" s="16"/>
      <c r="G21" s="9" t="s">
        <v>142</v>
      </c>
      <c r="H21" s="135">
        <v>46085</v>
      </c>
      <c r="I21" s="57"/>
      <c r="J21" s="141"/>
      <c r="K21" s="123">
        <v>51.498344</v>
      </c>
      <c r="L21" s="139">
        <v>0.0796</v>
      </c>
      <c r="M21" s="123">
        <v>402.672509</v>
      </c>
      <c r="N21" s="139">
        <v>0.097</v>
      </c>
      <c r="O21" s="123">
        <v>23.390476</v>
      </c>
      <c r="P21" s="139">
        <v>-0.0082</v>
      </c>
      <c r="Q21" s="123">
        <v>0.308485</v>
      </c>
      <c r="R21" s="139">
        <v>0.0289</v>
      </c>
      <c r="S21" s="123">
        <v>0.305213</v>
      </c>
      <c r="T21" s="139">
        <v>0.1269</v>
      </c>
      <c r="U21" s="28"/>
    </row>
    <row r="22" spans="1:21">
      <c r="A22" s="9"/>
      <c r="B22" s="9" t="s">
        <v>128</v>
      </c>
      <c r="C22" s="130"/>
      <c r="D22" s="15"/>
      <c r="E22" s="9"/>
      <c r="F22" s="16"/>
      <c r="G22" s="9" t="s">
        <v>143</v>
      </c>
      <c r="H22" s="123"/>
      <c r="I22" s="57"/>
      <c r="J22" s="141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28"/>
    </row>
    <row r="23" spans="1:21">
      <c r="A23" s="9"/>
      <c r="B23" s="9" t="s">
        <v>128</v>
      </c>
      <c r="C23" s="127" t="s">
        <v>129</v>
      </c>
      <c r="D23" s="15"/>
      <c r="E23" s="9" t="s">
        <v>136</v>
      </c>
      <c r="F23" s="16" t="s">
        <v>145</v>
      </c>
      <c r="G23" s="9" t="s">
        <v>78</v>
      </c>
      <c r="H23" s="135">
        <v>46061</v>
      </c>
      <c r="I23" s="57"/>
      <c r="J23" s="141"/>
      <c r="K23" s="123">
        <v>70.113277</v>
      </c>
      <c r="L23" s="139">
        <v>0</v>
      </c>
      <c r="M23" s="123">
        <v>384.52467</v>
      </c>
      <c r="N23" s="139">
        <v>0</v>
      </c>
      <c r="O23" s="123">
        <v>26.635224</v>
      </c>
      <c r="P23" s="139">
        <v>0</v>
      </c>
      <c r="Q23" s="123">
        <v>0.439787</v>
      </c>
      <c r="R23" s="139">
        <v>0</v>
      </c>
      <c r="S23" s="123">
        <v>0.441124</v>
      </c>
      <c r="T23" s="139">
        <v>0</v>
      </c>
      <c r="U23" s="28"/>
    </row>
    <row r="24" spans="1:21">
      <c r="A24" s="9"/>
      <c r="B24" s="9" t="s">
        <v>128</v>
      </c>
      <c r="C24" s="129"/>
      <c r="D24" s="15"/>
      <c r="E24" s="9"/>
      <c r="F24" s="16"/>
      <c r="G24" s="9" t="s">
        <v>141</v>
      </c>
      <c r="H24" s="135">
        <v>46080</v>
      </c>
      <c r="I24" s="57"/>
      <c r="J24" s="141"/>
      <c r="K24" s="123">
        <v>64.640354</v>
      </c>
      <c r="L24" s="139">
        <v>0.0781</v>
      </c>
      <c r="M24" s="123">
        <v>409.454828</v>
      </c>
      <c r="N24" s="139">
        <v>-0.0648</v>
      </c>
      <c r="O24" s="123">
        <v>26.01657</v>
      </c>
      <c r="P24" s="139">
        <v>0.0232</v>
      </c>
      <c r="Q24" s="123">
        <v>0.440489</v>
      </c>
      <c r="R24" s="139">
        <v>-0.0016</v>
      </c>
      <c r="S24" s="123">
        <v>0.453114</v>
      </c>
      <c r="T24" s="139">
        <v>-0.0272</v>
      </c>
      <c r="U24" s="28"/>
    </row>
    <row r="25" spans="1:21">
      <c r="A25" s="9"/>
      <c r="B25" s="9" t="s">
        <v>128</v>
      </c>
      <c r="C25" s="129"/>
      <c r="D25" s="15"/>
      <c r="E25" s="9"/>
      <c r="F25" s="16"/>
      <c r="G25" s="9" t="s">
        <v>142</v>
      </c>
      <c r="H25" s="135">
        <v>46085</v>
      </c>
      <c r="I25" s="57"/>
      <c r="J25" s="141"/>
      <c r="K25" s="123">
        <v>50.776008</v>
      </c>
      <c r="L25" s="142">
        <v>0.2758</v>
      </c>
      <c r="M25" s="123">
        <v>404.137543</v>
      </c>
      <c r="N25" s="139">
        <v>-0.051</v>
      </c>
      <c r="O25" s="123">
        <v>23.483178</v>
      </c>
      <c r="P25" s="139">
        <v>0.1183</v>
      </c>
      <c r="Q25" s="123">
        <v>0.304804</v>
      </c>
      <c r="R25" s="142">
        <v>0.3069</v>
      </c>
      <c r="S25" s="123">
        <v>0.300695</v>
      </c>
      <c r="T25" s="142">
        <v>0.3183</v>
      </c>
      <c r="U25" s="28"/>
    </row>
    <row r="26" spans="1:21">
      <c r="A26" s="9"/>
      <c r="B26" s="9" t="s">
        <v>128</v>
      </c>
      <c r="C26" s="130"/>
      <c r="D26" s="15"/>
      <c r="E26" s="9"/>
      <c r="F26" s="16"/>
      <c r="G26" s="9" t="s">
        <v>143</v>
      </c>
      <c r="H26" s="123"/>
      <c r="I26" s="57"/>
      <c r="J26" s="141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28"/>
    </row>
    <row r="27" spans="1:21">
      <c r="A27" s="9"/>
      <c r="B27" s="9" t="s">
        <v>128</v>
      </c>
      <c r="C27" s="127" t="s">
        <v>129</v>
      </c>
      <c r="D27" s="128" t="s">
        <v>146</v>
      </c>
      <c r="E27" s="9" t="s">
        <v>131</v>
      </c>
      <c r="F27" s="18" t="s">
        <v>147</v>
      </c>
      <c r="G27" s="36" t="s">
        <v>78</v>
      </c>
      <c r="H27" s="135">
        <v>46061</v>
      </c>
      <c r="I27" s="57" t="s">
        <v>148</v>
      </c>
      <c r="J27" s="58"/>
      <c r="K27" s="123">
        <v>47.438042</v>
      </c>
      <c r="L27" s="139">
        <v>0</v>
      </c>
      <c r="M27" s="123">
        <v>491.032641</v>
      </c>
      <c r="N27" s="139">
        <v>0</v>
      </c>
      <c r="O27" s="123">
        <v>25.072037</v>
      </c>
      <c r="P27" s="139">
        <v>0</v>
      </c>
      <c r="Q27" s="123">
        <v>0.425678</v>
      </c>
      <c r="R27" s="139">
        <v>0</v>
      </c>
      <c r="S27" s="123">
        <v>0.370718</v>
      </c>
      <c r="T27" s="139">
        <v>0</v>
      </c>
      <c r="U27" s="28"/>
    </row>
    <row r="28" spans="1:21">
      <c r="A28" s="9"/>
      <c r="B28" s="9" t="s">
        <v>128</v>
      </c>
      <c r="C28" s="130"/>
      <c r="D28" s="15"/>
      <c r="E28" s="9"/>
      <c r="F28" s="18"/>
      <c r="G28" s="36" t="s">
        <v>92</v>
      </c>
      <c r="H28" s="135">
        <v>46077</v>
      </c>
      <c r="I28" s="57"/>
      <c r="J28" s="58"/>
      <c r="K28" s="123">
        <v>44.624565</v>
      </c>
      <c r="L28" s="139">
        <v>0.0593</v>
      </c>
      <c r="M28" s="123">
        <v>512.618944</v>
      </c>
      <c r="N28" s="139">
        <v>-0.044</v>
      </c>
      <c r="O28" s="123">
        <v>25.872908</v>
      </c>
      <c r="P28" s="139">
        <v>-0.0319</v>
      </c>
      <c r="Q28" s="123">
        <v>0.429253</v>
      </c>
      <c r="R28" s="139">
        <v>-0.0084</v>
      </c>
      <c r="S28" s="123">
        <v>0.372085</v>
      </c>
      <c r="T28" s="139">
        <v>-0.0037</v>
      </c>
      <c r="U28" s="28"/>
    </row>
    <row r="29" spans="1:21">
      <c r="A29" s="9"/>
      <c r="B29" s="9" t="s">
        <v>128</v>
      </c>
      <c r="C29" s="127" t="s">
        <v>129</v>
      </c>
      <c r="D29" s="15"/>
      <c r="E29" s="9" t="s">
        <v>134</v>
      </c>
      <c r="F29" s="18" t="s">
        <v>149</v>
      </c>
      <c r="G29" s="36" t="s">
        <v>78</v>
      </c>
      <c r="H29" s="135">
        <v>46061</v>
      </c>
      <c r="I29" s="57"/>
      <c r="J29" s="58"/>
      <c r="K29" s="123">
        <v>65.341314</v>
      </c>
      <c r="L29" s="139">
        <v>0</v>
      </c>
      <c r="M29" s="123">
        <v>384.036655</v>
      </c>
      <c r="N29" s="139">
        <v>0</v>
      </c>
      <c r="O29" s="123">
        <v>32.756355</v>
      </c>
      <c r="P29" s="139">
        <v>0</v>
      </c>
      <c r="Q29" s="123">
        <v>0.398804</v>
      </c>
      <c r="R29" s="139">
        <v>0</v>
      </c>
      <c r="S29" s="123">
        <v>0.482154</v>
      </c>
      <c r="T29" s="139">
        <v>0</v>
      </c>
      <c r="U29" s="28"/>
    </row>
    <row r="30" spans="1:21">
      <c r="A30" s="9"/>
      <c r="B30" s="9" t="s">
        <v>128</v>
      </c>
      <c r="C30" s="130"/>
      <c r="D30" s="15"/>
      <c r="E30" s="9"/>
      <c r="F30" s="18"/>
      <c r="G30" s="36" t="s">
        <v>92</v>
      </c>
      <c r="H30" s="135">
        <v>46077</v>
      </c>
      <c r="I30" s="57"/>
      <c r="J30" s="58"/>
      <c r="K30" s="123">
        <v>63.87631</v>
      </c>
      <c r="L30" s="139">
        <v>0.0224</v>
      </c>
      <c r="M30" s="123">
        <v>399.165156</v>
      </c>
      <c r="N30" s="139">
        <v>-0.0394</v>
      </c>
      <c r="O30" s="123">
        <v>32.068388</v>
      </c>
      <c r="P30" s="139">
        <v>0.021</v>
      </c>
      <c r="Q30" s="123">
        <v>0.438051</v>
      </c>
      <c r="R30" s="139">
        <v>-0.0984</v>
      </c>
      <c r="S30" s="123">
        <v>0.478049</v>
      </c>
      <c r="T30" s="139">
        <v>0.0085</v>
      </c>
      <c r="U30" s="28"/>
    </row>
    <row r="31" spans="1:21">
      <c r="A31" s="9"/>
      <c r="B31" s="9" t="s">
        <v>128</v>
      </c>
      <c r="C31" s="127" t="s">
        <v>129</v>
      </c>
      <c r="D31" s="15"/>
      <c r="E31" s="9" t="s">
        <v>136</v>
      </c>
      <c r="F31" s="18" t="s">
        <v>150</v>
      </c>
      <c r="G31" s="36" t="s">
        <v>78</v>
      </c>
      <c r="H31" s="135">
        <v>46061</v>
      </c>
      <c r="I31" s="57"/>
      <c r="J31" s="58"/>
      <c r="K31" s="123">
        <v>54.278727</v>
      </c>
      <c r="L31" s="139">
        <v>0</v>
      </c>
      <c r="M31" s="123">
        <v>475.142615</v>
      </c>
      <c r="N31" s="139">
        <v>0</v>
      </c>
      <c r="O31" s="123">
        <v>22.364014</v>
      </c>
      <c r="P31" s="139">
        <v>0</v>
      </c>
      <c r="Q31" s="123">
        <v>0.370161</v>
      </c>
      <c r="R31" s="139">
        <v>0</v>
      </c>
      <c r="S31" s="123">
        <v>0.361725</v>
      </c>
      <c r="T31" s="139">
        <v>0</v>
      </c>
      <c r="U31" s="28"/>
    </row>
    <row r="32" spans="1:21">
      <c r="A32" s="9"/>
      <c r="B32" s="9" t="s">
        <v>128</v>
      </c>
      <c r="C32" s="130"/>
      <c r="D32" s="15"/>
      <c r="E32" s="9"/>
      <c r="F32" s="18"/>
      <c r="G32" s="36" t="s">
        <v>92</v>
      </c>
      <c r="H32" s="135">
        <v>46077</v>
      </c>
      <c r="I32" s="57"/>
      <c r="J32" s="58"/>
      <c r="K32" s="123">
        <v>50.141052</v>
      </c>
      <c r="L32" s="139">
        <v>0.0762</v>
      </c>
      <c r="M32" s="123">
        <v>502.271253</v>
      </c>
      <c r="N32" s="139">
        <v>-0.0571</v>
      </c>
      <c r="O32" s="123">
        <v>23.582138</v>
      </c>
      <c r="P32" s="139">
        <v>-0.0545</v>
      </c>
      <c r="Q32" s="123">
        <v>0.403182</v>
      </c>
      <c r="R32" s="139">
        <v>-0.0892</v>
      </c>
      <c r="S32" s="123">
        <v>0.372807</v>
      </c>
      <c r="T32" s="139">
        <v>-0.0306</v>
      </c>
      <c r="U32" s="28"/>
    </row>
    <row r="33" spans="1:21">
      <c r="A33" s="18"/>
      <c r="B33" s="9" t="s">
        <v>128</v>
      </c>
      <c r="C33" s="127" t="s">
        <v>129</v>
      </c>
      <c r="D33" s="131" t="s">
        <v>151</v>
      </c>
      <c r="E33" s="9" t="s">
        <v>131</v>
      </c>
      <c r="F33" s="18" t="s">
        <v>152</v>
      </c>
      <c r="G33" s="18" t="s">
        <v>78</v>
      </c>
      <c r="H33" s="135">
        <v>46061</v>
      </c>
      <c r="I33" s="57" t="s">
        <v>148</v>
      </c>
      <c r="J33" s="140"/>
      <c r="K33" s="123">
        <v>58.392595</v>
      </c>
      <c r="L33" s="139">
        <v>0</v>
      </c>
      <c r="M33" s="123">
        <v>442.549701</v>
      </c>
      <c r="N33" s="139">
        <v>0</v>
      </c>
      <c r="O33" s="123">
        <v>26.157014</v>
      </c>
      <c r="P33" s="139">
        <v>0</v>
      </c>
      <c r="Q33" s="123">
        <v>0.322276</v>
      </c>
      <c r="R33" s="139">
        <v>0</v>
      </c>
      <c r="S33" s="123">
        <v>0.39728</v>
      </c>
      <c r="T33" s="139">
        <v>0</v>
      </c>
      <c r="U33" s="18"/>
    </row>
    <row r="34" spans="1:21">
      <c r="A34" s="18"/>
      <c r="B34" s="9" t="s">
        <v>128</v>
      </c>
      <c r="C34" s="129"/>
      <c r="D34" s="17"/>
      <c r="E34" s="9"/>
      <c r="F34" s="18"/>
      <c r="G34" s="18" t="s">
        <v>153</v>
      </c>
      <c r="H34" s="6" t="s">
        <v>26</v>
      </c>
      <c r="I34" s="57"/>
      <c r="J34" s="140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8"/>
    </row>
    <row r="35" spans="1:21">
      <c r="A35" s="18"/>
      <c r="B35" s="9" t="s">
        <v>128</v>
      </c>
      <c r="C35" s="129"/>
      <c r="D35" s="17"/>
      <c r="E35" s="9"/>
      <c r="F35" s="18"/>
      <c r="G35" s="18" t="s">
        <v>154</v>
      </c>
      <c r="H35" s="123" t="s">
        <v>26</v>
      </c>
      <c r="I35" s="57"/>
      <c r="J35" s="140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8"/>
    </row>
    <row r="36" spans="1:21">
      <c r="A36" s="18"/>
      <c r="B36" s="9" t="s">
        <v>128</v>
      </c>
      <c r="C36" s="130"/>
      <c r="D36" s="17"/>
      <c r="E36" s="9"/>
      <c r="F36" s="18"/>
      <c r="G36" s="18" t="s">
        <v>95</v>
      </c>
      <c r="H36" s="135">
        <v>46080</v>
      </c>
      <c r="I36" s="57"/>
      <c r="J36" s="140"/>
      <c r="K36" s="123">
        <v>61.651825</v>
      </c>
      <c r="L36" s="139">
        <v>-0.0558</v>
      </c>
      <c r="M36" s="123">
        <v>438.081274</v>
      </c>
      <c r="N36" s="139">
        <v>0.0101</v>
      </c>
      <c r="O36" s="123">
        <v>27.288788</v>
      </c>
      <c r="P36" s="139">
        <v>-0.0433</v>
      </c>
      <c r="Q36" s="123">
        <v>0.371948</v>
      </c>
      <c r="R36" s="139">
        <v>-0.1541</v>
      </c>
      <c r="S36" s="123">
        <v>0.428622</v>
      </c>
      <c r="T36" s="139">
        <v>-0.0789</v>
      </c>
      <c r="U36" s="18"/>
    </row>
    <row r="37" spans="1:21">
      <c r="A37" s="18"/>
      <c r="B37" s="9" t="s">
        <v>128</v>
      </c>
      <c r="C37" s="127" t="s">
        <v>129</v>
      </c>
      <c r="D37" s="17"/>
      <c r="E37" s="18" t="s">
        <v>134</v>
      </c>
      <c r="F37" s="18" t="s">
        <v>155</v>
      </c>
      <c r="G37" s="18" t="s">
        <v>78</v>
      </c>
      <c r="H37" s="135">
        <v>46061</v>
      </c>
      <c r="I37" s="57"/>
      <c r="J37" s="140"/>
      <c r="K37" s="123">
        <v>57.242992</v>
      </c>
      <c r="L37" s="139">
        <v>0</v>
      </c>
      <c r="M37" s="123">
        <v>486.387972</v>
      </c>
      <c r="N37" s="139">
        <v>0</v>
      </c>
      <c r="O37" s="123">
        <v>24.435172</v>
      </c>
      <c r="P37" s="139">
        <v>0</v>
      </c>
      <c r="Q37" s="123">
        <v>0.347085</v>
      </c>
      <c r="R37" s="139">
        <v>0</v>
      </c>
      <c r="S37" s="123">
        <v>0.430811</v>
      </c>
      <c r="T37" s="139">
        <v>0</v>
      </c>
      <c r="U37" s="18"/>
    </row>
    <row r="38" spans="1:21">
      <c r="A38" s="18"/>
      <c r="B38" s="9" t="s">
        <v>128</v>
      </c>
      <c r="C38" s="129"/>
      <c r="D38" s="17"/>
      <c r="E38" s="18"/>
      <c r="F38" s="18"/>
      <c r="G38" s="18" t="s">
        <v>153</v>
      </c>
      <c r="H38" s="6" t="s">
        <v>26</v>
      </c>
      <c r="I38" s="57"/>
      <c r="J38" s="140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8"/>
    </row>
    <row r="39" spans="1:21">
      <c r="A39" s="18"/>
      <c r="B39" s="9" t="s">
        <v>128</v>
      </c>
      <c r="C39" s="129"/>
      <c r="D39" s="17"/>
      <c r="E39" s="18"/>
      <c r="F39" s="18"/>
      <c r="G39" s="18" t="s">
        <v>154</v>
      </c>
      <c r="H39" s="123" t="s">
        <v>26</v>
      </c>
      <c r="I39" s="57"/>
      <c r="J39" s="140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8"/>
    </row>
    <row r="40" spans="1:21">
      <c r="A40" s="18"/>
      <c r="B40" s="9" t="s">
        <v>128</v>
      </c>
      <c r="C40" s="130"/>
      <c r="D40" s="17"/>
      <c r="E40" s="18"/>
      <c r="F40" s="18"/>
      <c r="G40" s="18" t="s">
        <v>95</v>
      </c>
      <c r="H40" s="135">
        <v>46080</v>
      </c>
      <c r="I40" s="57"/>
      <c r="J40" s="140"/>
      <c r="K40" s="123">
        <v>60.985155</v>
      </c>
      <c r="L40" s="139">
        <v>-0.0654</v>
      </c>
      <c r="M40" s="123">
        <v>482.631007</v>
      </c>
      <c r="N40" s="139">
        <v>0.0077</v>
      </c>
      <c r="O40" s="123">
        <v>25.163892</v>
      </c>
      <c r="P40" s="139">
        <v>-0.0298</v>
      </c>
      <c r="Q40" s="123">
        <v>0.363208</v>
      </c>
      <c r="R40" s="139">
        <v>-0.0465</v>
      </c>
      <c r="S40" s="123">
        <v>0.41425</v>
      </c>
      <c r="T40" s="139">
        <v>0.0384</v>
      </c>
      <c r="U40" s="18"/>
    </row>
    <row r="41" spans="1:21">
      <c r="A41" s="18"/>
      <c r="B41" s="9" t="s">
        <v>128</v>
      </c>
      <c r="C41" s="127" t="s">
        <v>129</v>
      </c>
      <c r="D41" s="17"/>
      <c r="E41" s="18" t="s">
        <v>136</v>
      </c>
      <c r="F41" s="18" t="s">
        <v>156</v>
      </c>
      <c r="G41" s="18" t="s">
        <v>78</v>
      </c>
      <c r="H41" s="135">
        <v>46061</v>
      </c>
      <c r="I41" s="57"/>
      <c r="J41" s="140"/>
      <c r="K41" s="123">
        <v>74.443226</v>
      </c>
      <c r="L41" s="139">
        <v>0</v>
      </c>
      <c r="M41" s="123">
        <v>442.486199</v>
      </c>
      <c r="N41" s="139">
        <v>0</v>
      </c>
      <c r="O41" s="123">
        <v>30.015499</v>
      </c>
      <c r="P41" s="139">
        <v>0</v>
      </c>
      <c r="Q41" s="123">
        <v>0.308803</v>
      </c>
      <c r="R41" s="139">
        <v>0</v>
      </c>
      <c r="S41" s="123">
        <v>0.493639</v>
      </c>
      <c r="T41" s="139">
        <v>0</v>
      </c>
      <c r="U41" s="18"/>
    </row>
    <row r="42" spans="1:21">
      <c r="A42" s="18"/>
      <c r="B42" s="9" t="s">
        <v>128</v>
      </c>
      <c r="C42" s="129"/>
      <c r="D42" s="17"/>
      <c r="E42" s="18"/>
      <c r="F42" s="18"/>
      <c r="G42" s="18" t="s">
        <v>153</v>
      </c>
      <c r="H42" s="6" t="s">
        <v>26</v>
      </c>
      <c r="I42" s="57"/>
      <c r="J42" s="140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8"/>
    </row>
    <row r="43" spans="1:21">
      <c r="A43" s="18"/>
      <c r="B43" s="9" t="s">
        <v>128</v>
      </c>
      <c r="C43" s="129"/>
      <c r="D43" s="17"/>
      <c r="E43" s="18"/>
      <c r="F43" s="18"/>
      <c r="G43" s="18" t="s">
        <v>154</v>
      </c>
      <c r="H43" s="123" t="s">
        <v>26</v>
      </c>
      <c r="I43" s="57"/>
      <c r="J43" s="140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8"/>
    </row>
    <row r="44" spans="1:21">
      <c r="A44" s="18"/>
      <c r="B44" s="9" t="s">
        <v>128</v>
      </c>
      <c r="C44" s="130"/>
      <c r="D44" s="17"/>
      <c r="E44" s="18"/>
      <c r="F44" s="18"/>
      <c r="G44" s="18" t="s">
        <v>95</v>
      </c>
      <c r="H44" s="135">
        <v>46080</v>
      </c>
      <c r="I44" s="57"/>
      <c r="J44" s="140"/>
      <c r="K44" s="123">
        <v>76.603321</v>
      </c>
      <c r="L44" s="139">
        <v>-0.029</v>
      </c>
      <c r="M44" s="123">
        <v>422.146311</v>
      </c>
      <c r="N44" s="139">
        <v>0.046</v>
      </c>
      <c r="O44" s="123">
        <v>28.932187</v>
      </c>
      <c r="P44" s="139">
        <v>0.0361</v>
      </c>
      <c r="Q44" s="123">
        <v>0.305752</v>
      </c>
      <c r="R44" s="139">
        <v>0.0099</v>
      </c>
      <c r="S44" s="123">
        <v>0.47213</v>
      </c>
      <c r="T44" s="139">
        <v>0.0436</v>
      </c>
      <c r="U44" s="18"/>
    </row>
    <row r="45" spans="3:21">
      <c r="C45" s="16" t="s">
        <v>129</v>
      </c>
      <c r="D45" s="132" t="s">
        <v>157</v>
      </c>
      <c r="E45" s="16" t="s">
        <v>131</v>
      </c>
      <c r="F45" s="16" t="s">
        <v>158</v>
      </c>
      <c r="G45" s="16" t="s">
        <v>78</v>
      </c>
      <c r="H45" s="135">
        <v>46061</v>
      </c>
      <c r="I45" s="57" t="s">
        <v>77</v>
      </c>
      <c r="J45" s="87"/>
      <c r="K45" s="123">
        <v>60.304175</v>
      </c>
      <c r="L45" s="139">
        <v>0</v>
      </c>
      <c r="M45" s="123">
        <v>459.546511</v>
      </c>
      <c r="N45" s="139">
        <v>0</v>
      </c>
      <c r="O45" s="123">
        <v>23.650192</v>
      </c>
      <c r="P45" s="139">
        <v>0</v>
      </c>
      <c r="Q45" s="123">
        <v>0.380996</v>
      </c>
      <c r="R45" s="139">
        <v>0</v>
      </c>
      <c r="S45" s="123">
        <v>0.387819</v>
      </c>
      <c r="T45" s="139">
        <v>0</v>
      </c>
      <c r="U45" s="133"/>
    </row>
    <row r="46" spans="3:21">
      <c r="C46" s="16"/>
      <c r="D46" s="122"/>
      <c r="E46" s="16"/>
      <c r="F46" s="16"/>
      <c r="G46" s="16" t="s">
        <v>143</v>
      </c>
      <c r="H46" s="135">
        <v>46087</v>
      </c>
      <c r="I46" s="57"/>
      <c r="J46" s="143"/>
      <c r="K46" s="123">
        <v>51.962491</v>
      </c>
      <c r="L46" s="139">
        <v>0.1383</v>
      </c>
      <c r="M46" s="123">
        <v>406.344847</v>
      </c>
      <c r="N46" s="139">
        <v>0.1158</v>
      </c>
      <c r="O46" s="123">
        <v>23.569685</v>
      </c>
      <c r="P46" s="139">
        <v>0.0034</v>
      </c>
      <c r="Q46" s="123">
        <v>0.339846</v>
      </c>
      <c r="R46" s="139">
        <v>0.108</v>
      </c>
      <c r="S46" s="123">
        <v>0.383674</v>
      </c>
      <c r="T46" s="139">
        <v>0.0107</v>
      </c>
      <c r="U46" s="149"/>
    </row>
    <row r="47" spans="3:21">
      <c r="C47" s="16"/>
      <c r="D47" s="122"/>
      <c r="E47" s="16"/>
      <c r="F47" s="16"/>
      <c r="G47" s="16" t="s">
        <v>159</v>
      </c>
      <c r="H47" s="123"/>
      <c r="I47" s="57"/>
      <c r="J47" s="14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49"/>
    </row>
    <row r="48" spans="3:21">
      <c r="C48" s="16"/>
      <c r="D48" s="122"/>
      <c r="E48" s="16"/>
      <c r="F48" s="16"/>
      <c r="G48" s="16" t="s">
        <v>160</v>
      </c>
      <c r="H48" s="123"/>
      <c r="I48" s="57"/>
      <c r="J48" s="14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49"/>
    </row>
    <row r="49" spans="3:21">
      <c r="C49" s="16"/>
      <c r="D49" s="122"/>
      <c r="E49" s="16"/>
      <c r="F49" s="16"/>
      <c r="G49" s="16" t="s">
        <v>161</v>
      </c>
      <c r="H49" s="123"/>
      <c r="I49" s="57"/>
      <c r="J49" s="14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49"/>
    </row>
    <row r="50" spans="3:21">
      <c r="C50" s="16"/>
      <c r="D50" s="122"/>
      <c r="E50" s="16"/>
      <c r="F50" s="16"/>
      <c r="G50" s="16" t="s">
        <v>162</v>
      </c>
      <c r="H50" s="123"/>
      <c r="I50" s="57"/>
      <c r="J50" s="14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49"/>
    </row>
    <row r="51" spans="3:21">
      <c r="C51" s="16" t="s">
        <v>129</v>
      </c>
      <c r="D51" s="122"/>
      <c r="E51" s="16" t="s">
        <v>134</v>
      </c>
      <c r="F51" s="16" t="s">
        <v>163</v>
      </c>
      <c r="G51" s="16" t="s">
        <v>78</v>
      </c>
      <c r="H51" s="135">
        <v>46061</v>
      </c>
      <c r="I51" s="57"/>
      <c r="J51" s="143"/>
      <c r="K51" s="123">
        <v>55.221253</v>
      </c>
      <c r="L51" s="139">
        <v>0</v>
      </c>
      <c r="M51" s="123">
        <v>416.595995</v>
      </c>
      <c r="N51" s="139">
        <v>0</v>
      </c>
      <c r="O51" s="123">
        <v>21.759186</v>
      </c>
      <c r="P51" s="139">
        <v>0</v>
      </c>
      <c r="Q51" s="123">
        <v>0.371024</v>
      </c>
      <c r="R51" s="139">
        <v>0</v>
      </c>
      <c r="S51" s="123">
        <v>0.352582</v>
      </c>
      <c r="T51" s="139">
        <v>0</v>
      </c>
      <c r="U51" s="149"/>
    </row>
    <row r="52" spans="3:21">
      <c r="C52" s="16"/>
      <c r="D52" s="122"/>
      <c r="E52" s="16"/>
      <c r="F52" s="16"/>
      <c r="G52" s="16" t="s">
        <v>143</v>
      </c>
      <c r="H52" s="135">
        <v>46087</v>
      </c>
      <c r="I52" s="57"/>
      <c r="J52" s="143"/>
      <c r="K52" s="123">
        <v>51.847096</v>
      </c>
      <c r="L52" s="139">
        <v>0.0611</v>
      </c>
      <c r="M52" s="123">
        <v>350.667494</v>
      </c>
      <c r="N52" s="139">
        <v>0.1583</v>
      </c>
      <c r="O52" s="123">
        <v>21.596499</v>
      </c>
      <c r="P52" s="139">
        <v>0.0075</v>
      </c>
      <c r="Q52" s="123">
        <v>0.349079</v>
      </c>
      <c r="R52" s="139">
        <v>0.0591</v>
      </c>
      <c r="S52" s="123">
        <v>0.323334</v>
      </c>
      <c r="T52" s="139">
        <v>0.083</v>
      </c>
      <c r="U52" s="149"/>
    </row>
    <row r="53" spans="3:21">
      <c r="C53" s="16"/>
      <c r="D53" s="122"/>
      <c r="E53" s="16"/>
      <c r="F53" s="16"/>
      <c r="G53" s="16" t="s">
        <v>159</v>
      </c>
      <c r="H53" s="123"/>
      <c r="I53" s="57"/>
      <c r="J53" s="14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49"/>
    </row>
    <row r="54" spans="3:21">
      <c r="C54" s="16"/>
      <c r="D54" s="122"/>
      <c r="E54" s="16"/>
      <c r="F54" s="16"/>
      <c r="G54" s="16" t="s">
        <v>160</v>
      </c>
      <c r="H54" s="123"/>
      <c r="I54" s="57"/>
      <c r="J54" s="14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49"/>
    </row>
    <row r="55" spans="3:21">
      <c r="C55" s="16"/>
      <c r="D55" s="122"/>
      <c r="E55" s="16"/>
      <c r="F55" s="16"/>
      <c r="G55" s="16" t="s">
        <v>161</v>
      </c>
      <c r="H55" s="123"/>
      <c r="I55" s="57"/>
      <c r="J55" s="14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49"/>
    </row>
    <row r="56" spans="3:21">
      <c r="C56" s="16"/>
      <c r="D56" s="122"/>
      <c r="E56" s="16"/>
      <c r="F56" s="16"/>
      <c r="G56" s="16" t="s">
        <v>162</v>
      </c>
      <c r="H56" s="123"/>
      <c r="I56" s="57"/>
      <c r="J56" s="14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49"/>
    </row>
    <row r="57" spans="3:21">
      <c r="C57" s="16" t="s">
        <v>129</v>
      </c>
      <c r="D57" s="122"/>
      <c r="E57" s="16" t="s">
        <v>136</v>
      </c>
      <c r="F57" s="16" t="s">
        <v>164</v>
      </c>
      <c r="G57" s="16" t="s">
        <v>78</v>
      </c>
      <c r="H57" s="123"/>
      <c r="I57" s="57"/>
      <c r="J57" s="143"/>
      <c r="K57" s="123">
        <v>49.653273</v>
      </c>
      <c r="L57" s="139">
        <v>0</v>
      </c>
      <c r="M57" s="123">
        <v>395.667681</v>
      </c>
      <c r="N57" s="139">
        <v>0</v>
      </c>
      <c r="O57" s="123">
        <v>31.585719</v>
      </c>
      <c r="P57" s="139">
        <v>0</v>
      </c>
      <c r="Q57" s="123">
        <v>0.41001</v>
      </c>
      <c r="R57" s="139">
        <v>0</v>
      </c>
      <c r="S57" s="123">
        <v>0.39019</v>
      </c>
      <c r="T57" s="139">
        <v>0</v>
      </c>
      <c r="U57" s="149"/>
    </row>
    <row r="58" spans="3:21">
      <c r="C58" s="16"/>
      <c r="D58" s="122"/>
      <c r="E58" s="16"/>
      <c r="F58" s="16"/>
      <c r="G58" s="16" t="s">
        <v>143</v>
      </c>
      <c r="H58" s="135">
        <v>46087</v>
      </c>
      <c r="I58" s="57"/>
      <c r="J58" s="143"/>
      <c r="K58" s="123">
        <v>50.329087</v>
      </c>
      <c r="L58" s="139">
        <v>-0.0136</v>
      </c>
      <c r="M58" s="123">
        <v>329.636171</v>
      </c>
      <c r="N58" s="139">
        <v>0.1669</v>
      </c>
      <c r="O58" s="123">
        <v>26.939752</v>
      </c>
      <c r="P58" s="139">
        <v>0.1471</v>
      </c>
      <c r="Q58" s="123">
        <v>0.391282</v>
      </c>
      <c r="R58" s="139">
        <v>0.0457</v>
      </c>
      <c r="S58" s="123">
        <v>0.364909</v>
      </c>
      <c r="T58" s="139">
        <v>0.0648</v>
      </c>
      <c r="U58" s="149"/>
    </row>
    <row r="59" spans="3:21">
      <c r="C59" s="16"/>
      <c r="D59" s="122"/>
      <c r="E59" s="16"/>
      <c r="F59" s="16"/>
      <c r="G59" s="16" t="s">
        <v>159</v>
      </c>
      <c r="H59" s="123"/>
      <c r="I59" s="57"/>
      <c r="J59" s="14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49"/>
    </row>
    <row r="60" spans="3:21">
      <c r="C60" s="16"/>
      <c r="D60" s="122"/>
      <c r="E60" s="16"/>
      <c r="F60" s="16"/>
      <c r="G60" s="16" t="s">
        <v>160</v>
      </c>
      <c r="H60" s="123"/>
      <c r="I60" s="57"/>
      <c r="J60" s="14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49"/>
    </row>
    <row r="61" spans="3:21">
      <c r="C61" s="16"/>
      <c r="D61" s="122"/>
      <c r="E61" s="16"/>
      <c r="F61" s="16"/>
      <c r="G61" s="16" t="s">
        <v>161</v>
      </c>
      <c r="H61" s="123"/>
      <c r="I61" s="57"/>
      <c r="J61" s="14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49"/>
    </row>
    <row r="62" spans="3:21">
      <c r="C62" s="16"/>
      <c r="D62" s="122"/>
      <c r="E62" s="16"/>
      <c r="F62" s="16"/>
      <c r="G62" s="16" t="s">
        <v>162</v>
      </c>
      <c r="H62" s="123"/>
      <c r="I62" s="57"/>
      <c r="J62" s="90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34"/>
    </row>
    <row r="63" spans="3:21">
      <c r="C63" s="133" t="s">
        <v>129</v>
      </c>
      <c r="D63" s="132" t="s">
        <v>165</v>
      </c>
      <c r="E63" s="88" t="s">
        <v>131</v>
      </c>
      <c r="F63" s="88" t="s">
        <v>166</v>
      </c>
      <c r="G63" s="16" t="s">
        <v>78</v>
      </c>
      <c r="H63" s="135">
        <v>46080</v>
      </c>
      <c r="I63" s="57" t="s">
        <v>148</v>
      </c>
      <c r="J63" s="144" t="s">
        <v>167</v>
      </c>
      <c r="K63" s="123">
        <v>63.736583</v>
      </c>
      <c r="L63" s="139">
        <v>0</v>
      </c>
      <c r="M63" s="123">
        <v>437.027367</v>
      </c>
      <c r="N63" s="139">
        <v>0</v>
      </c>
      <c r="O63" s="123">
        <v>23.351582</v>
      </c>
      <c r="P63" s="139">
        <v>0</v>
      </c>
      <c r="Q63" s="123">
        <v>0.180513</v>
      </c>
      <c r="R63" s="139">
        <v>0</v>
      </c>
      <c r="S63" s="123">
        <v>0.331749</v>
      </c>
      <c r="T63" s="139">
        <v>0</v>
      </c>
      <c r="U63" s="133"/>
    </row>
    <row r="64" spans="3:21">
      <c r="C64" s="134"/>
      <c r="D64" s="122"/>
      <c r="E64" s="91"/>
      <c r="F64" s="91"/>
      <c r="G64" s="16" t="s">
        <v>168</v>
      </c>
      <c r="H64" s="135">
        <v>46080</v>
      </c>
      <c r="I64" s="57"/>
      <c r="J64" s="145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49"/>
    </row>
    <row r="65" spans="3:21">
      <c r="C65" s="133" t="s">
        <v>129</v>
      </c>
      <c r="D65" s="122"/>
      <c r="E65" s="154" t="s">
        <v>134</v>
      </c>
      <c r="F65" s="88" t="s">
        <v>169</v>
      </c>
      <c r="G65" s="16" t="s">
        <v>78</v>
      </c>
      <c r="H65" s="135">
        <v>46080</v>
      </c>
      <c r="I65" s="57"/>
      <c r="J65" s="145"/>
      <c r="K65" s="123">
        <v>64.653836</v>
      </c>
      <c r="L65" s="139">
        <v>0</v>
      </c>
      <c r="M65" s="123">
        <v>418.352156</v>
      </c>
      <c r="N65" s="139">
        <v>0</v>
      </c>
      <c r="O65" s="123">
        <v>25.70449</v>
      </c>
      <c r="P65" s="139">
        <v>0</v>
      </c>
      <c r="Q65" s="123">
        <v>0.239381</v>
      </c>
      <c r="R65" s="139">
        <v>0</v>
      </c>
      <c r="S65" s="123">
        <v>0.288247</v>
      </c>
      <c r="T65" s="139">
        <v>0</v>
      </c>
      <c r="U65" s="149"/>
    </row>
    <row r="66" spans="3:21">
      <c r="C66" s="134"/>
      <c r="D66" s="122"/>
      <c r="E66" s="155"/>
      <c r="F66" s="91"/>
      <c r="G66" s="16" t="s">
        <v>168</v>
      </c>
      <c r="H66" s="135">
        <v>46080</v>
      </c>
      <c r="I66" s="57"/>
      <c r="J66" s="145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49"/>
    </row>
    <row r="67" spans="3:21">
      <c r="C67" s="133" t="s">
        <v>129</v>
      </c>
      <c r="D67" s="122"/>
      <c r="E67" s="88" t="s">
        <v>136</v>
      </c>
      <c r="F67" s="88" t="s">
        <v>170</v>
      </c>
      <c r="G67" s="16" t="s">
        <v>78</v>
      </c>
      <c r="H67" s="135">
        <v>46080</v>
      </c>
      <c r="I67" s="57"/>
      <c r="J67" s="145"/>
      <c r="K67" s="123">
        <v>63.547364</v>
      </c>
      <c r="L67" s="139">
        <v>0</v>
      </c>
      <c r="M67" s="123">
        <v>387.993629</v>
      </c>
      <c r="N67" s="139">
        <v>0</v>
      </c>
      <c r="O67" s="123">
        <v>33.770493</v>
      </c>
      <c r="P67" s="139">
        <v>0</v>
      </c>
      <c r="Q67" s="123">
        <v>0.319937</v>
      </c>
      <c r="R67" s="139">
        <v>0</v>
      </c>
      <c r="S67" s="123">
        <v>0.479391</v>
      </c>
      <c r="T67" s="139">
        <v>0</v>
      </c>
      <c r="U67" s="134"/>
    </row>
    <row r="68" spans="3:21">
      <c r="C68" s="134"/>
      <c r="D68" s="122"/>
      <c r="E68" s="91"/>
      <c r="F68" s="91"/>
      <c r="G68" s="16" t="s">
        <v>168</v>
      </c>
      <c r="H68" s="135">
        <v>46080</v>
      </c>
      <c r="I68" s="57"/>
      <c r="J68" s="157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8"/>
    </row>
    <row r="69" spans="3:21">
      <c r="C69" s="18" t="s">
        <v>129</v>
      </c>
      <c r="D69" s="150" t="s">
        <v>171</v>
      </c>
      <c r="E69" s="16" t="s">
        <v>131</v>
      </c>
      <c r="F69" s="16" t="s">
        <v>172</v>
      </c>
      <c r="G69" s="16" t="s">
        <v>78</v>
      </c>
      <c r="H69" s="156">
        <v>46085</v>
      </c>
      <c r="I69" s="158" t="s">
        <v>77</v>
      </c>
      <c r="J69" s="144" t="s">
        <v>173</v>
      </c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18"/>
    </row>
    <row r="70" spans="3:21">
      <c r="C70" s="18"/>
      <c r="D70" s="151"/>
      <c r="E70" s="16"/>
      <c r="F70" s="16"/>
      <c r="G70" s="18" t="s">
        <v>174</v>
      </c>
      <c r="H70" s="156">
        <v>46086</v>
      </c>
      <c r="I70" s="47"/>
      <c r="J70" s="159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18"/>
    </row>
    <row r="71" spans="3:21">
      <c r="C71" s="18"/>
      <c r="D71" s="151"/>
      <c r="E71" s="16"/>
      <c r="F71" s="16"/>
      <c r="G71" s="18" t="s">
        <v>93</v>
      </c>
      <c r="H71" s="156">
        <v>46087</v>
      </c>
      <c r="I71" s="47"/>
      <c r="J71" s="159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18"/>
    </row>
    <row r="72" spans="3:21">
      <c r="C72" s="18"/>
      <c r="D72" s="151"/>
      <c r="E72" s="16"/>
      <c r="F72" s="16"/>
      <c r="G72" s="18" t="s">
        <v>89</v>
      </c>
      <c r="H72" s="156">
        <v>46088</v>
      </c>
      <c r="I72" s="47"/>
      <c r="J72" s="159"/>
      <c r="K72" s="70"/>
      <c r="L72" s="160"/>
      <c r="M72" s="70"/>
      <c r="N72" s="160"/>
      <c r="O72" s="70"/>
      <c r="P72" s="160"/>
      <c r="Q72" s="70"/>
      <c r="R72" s="160"/>
      <c r="S72" s="70"/>
      <c r="T72" s="160"/>
      <c r="U72" s="18"/>
    </row>
    <row r="73" spans="3:21">
      <c r="C73" s="18"/>
      <c r="D73" s="151"/>
      <c r="E73" s="16"/>
      <c r="F73" s="16"/>
      <c r="G73" s="18" t="s">
        <v>175</v>
      </c>
      <c r="H73" s="156">
        <v>46089</v>
      </c>
      <c r="I73" s="47"/>
      <c r="J73" s="159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18"/>
    </row>
    <row r="74" spans="3:21">
      <c r="C74" s="18"/>
      <c r="D74" s="151"/>
      <c r="E74" s="16"/>
      <c r="F74" s="16"/>
      <c r="G74" s="18" t="s">
        <v>176</v>
      </c>
      <c r="H74" s="156">
        <v>46090</v>
      </c>
      <c r="I74" s="47"/>
      <c r="J74" s="159"/>
      <c r="K74" s="70"/>
      <c r="L74" s="160"/>
      <c r="M74" s="70"/>
      <c r="N74" s="160"/>
      <c r="O74" s="70"/>
      <c r="P74" s="160"/>
      <c r="Q74" s="70"/>
      <c r="R74" s="160"/>
      <c r="S74" s="70"/>
      <c r="T74" s="160"/>
      <c r="U74" s="18"/>
    </row>
    <row r="75" spans="3:21">
      <c r="C75" s="18"/>
      <c r="D75" s="151"/>
      <c r="E75" s="16"/>
      <c r="F75" s="16"/>
      <c r="G75" s="18" t="s">
        <v>105</v>
      </c>
      <c r="H75" s="156"/>
      <c r="I75" s="47"/>
      <c r="J75" s="159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18"/>
    </row>
    <row r="76" spans="3:21">
      <c r="C76" s="18" t="s">
        <v>129</v>
      </c>
      <c r="D76" s="151"/>
      <c r="E76" s="16" t="s">
        <v>134</v>
      </c>
      <c r="F76" s="16" t="s">
        <v>177</v>
      </c>
      <c r="G76" s="16" t="s">
        <v>78</v>
      </c>
      <c r="H76" s="156">
        <v>46085</v>
      </c>
      <c r="I76" s="47"/>
      <c r="J76" s="159"/>
      <c r="K76" s="70"/>
      <c r="L76" s="160"/>
      <c r="M76" s="70"/>
      <c r="N76" s="160"/>
      <c r="O76" s="70"/>
      <c r="P76" s="160"/>
      <c r="Q76" s="70"/>
      <c r="R76" s="160"/>
      <c r="S76" s="70"/>
      <c r="T76" s="160"/>
      <c r="U76" s="18"/>
    </row>
    <row r="77" spans="3:21">
      <c r="C77" s="18"/>
      <c r="D77" s="151"/>
      <c r="E77" s="16"/>
      <c r="F77" s="16"/>
      <c r="G77" s="18" t="s">
        <v>174</v>
      </c>
      <c r="H77" s="156">
        <v>46086</v>
      </c>
      <c r="I77" s="47"/>
      <c r="J77" s="159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18"/>
    </row>
    <row r="78" spans="3:21">
      <c r="C78" s="18"/>
      <c r="D78" s="151"/>
      <c r="E78" s="16"/>
      <c r="F78" s="16"/>
      <c r="G78" s="18" t="s">
        <v>93</v>
      </c>
      <c r="H78" s="156">
        <v>46087</v>
      </c>
      <c r="I78" s="47"/>
      <c r="J78" s="159"/>
      <c r="K78" s="70"/>
      <c r="L78" s="160"/>
      <c r="M78" s="70"/>
      <c r="N78" s="160"/>
      <c r="O78" s="70"/>
      <c r="P78" s="160"/>
      <c r="Q78" s="70"/>
      <c r="R78" s="160"/>
      <c r="S78" s="70"/>
      <c r="T78" s="160"/>
      <c r="U78" s="18"/>
    </row>
    <row r="79" spans="3:21">
      <c r="C79" s="18"/>
      <c r="D79" s="151"/>
      <c r="E79" s="16"/>
      <c r="F79" s="16"/>
      <c r="G79" s="18" t="s">
        <v>89</v>
      </c>
      <c r="H79" s="156">
        <v>46088</v>
      </c>
      <c r="I79" s="47"/>
      <c r="J79" s="159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18"/>
    </row>
    <row r="80" spans="3:21">
      <c r="C80" s="18"/>
      <c r="D80" s="151"/>
      <c r="E80" s="16"/>
      <c r="F80" s="16"/>
      <c r="G80" s="18" t="s">
        <v>175</v>
      </c>
      <c r="H80" s="156">
        <v>46089</v>
      </c>
      <c r="I80" s="47"/>
      <c r="J80" s="159"/>
      <c r="K80" s="70"/>
      <c r="L80" s="160"/>
      <c r="M80" s="70"/>
      <c r="N80" s="160"/>
      <c r="O80" s="70"/>
      <c r="P80" s="160"/>
      <c r="Q80" s="70"/>
      <c r="R80" s="160"/>
      <c r="S80" s="70"/>
      <c r="T80" s="160"/>
      <c r="U80" s="18"/>
    </row>
    <row r="81" spans="3:21">
      <c r="C81" s="18"/>
      <c r="D81" s="151"/>
      <c r="E81" s="16"/>
      <c r="F81" s="16"/>
      <c r="G81" s="18" t="s">
        <v>176</v>
      </c>
      <c r="H81" s="156">
        <v>46090</v>
      </c>
      <c r="I81" s="47"/>
      <c r="J81" s="159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18"/>
    </row>
    <row r="82" spans="3:21">
      <c r="C82" s="18"/>
      <c r="D82" s="151"/>
      <c r="E82" s="16"/>
      <c r="F82" s="16"/>
      <c r="G82" s="18" t="s">
        <v>105</v>
      </c>
      <c r="H82" s="156"/>
      <c r="I82" s="47"/>
      <c r="J82" s="159"/>
      <c r="K82" s="70"/>
      <c r="L82" s="160"/>
      <c r="M82" s="70"/>
      <c r="N82" s="160"/>
      <c r="O82" s="70"/>
      <c r="P82" s="160"/>
      <c r="Q82" s="70"/>
      <c r="R82" s="160"/>
      <c r="S82" s="70"/>
      <c r="T82" s="160"/>
      <c r="U82" s="18"/>
    </row>
    <row r="83" spans="3:21">
      <c r="C83" s="18" t="s">
        <v>129</v>
      </c>
      <c r="D83" s="151"/>
      <c r="E83" s="16" t="s">
        <v>136</v>
      </c>
      <c r="F83" s="16" t="s">
        <v>178</v>
      </c>
      <c r="G83" s="16" t="s">
        <v>78</v>
      </c>
      <c r="H83" s="156">
        <v>46085</v>
      </c>
      <c r="I83" s="47"/>
      <c r="J83" s="159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18"/>
    </row>
    <row r="84" spans="3:21">
      <c r="C84" s="18"/>
      <c r="D84" s="151"/>
      <c r="E84" s="16"/>
      <c r="F84" s="16"/>
      <c r="G84" s="18" t="s">
        <v>174</v>
      </c>
      <c r="H84" s="156">
        <v>46086</v>
      </c>
      <c r="I84" s="47"/>
      <c r="J84" s="159"/>
      <c r="K84" s="70"/>
      <c r="L84" s="160"/>
      <c r="M84" s="70"/>
      <c r="N84" s="160"/>
      <c r="O84" s="70"/>
      <c r="P84" s="160"/>
      <c r="Q84" s="70"/>
      <c r="R84" s="160"/>
      <c r="S84" s="70"/>
      <c r="T84" s="160"/>
      <c r="U84" s="18"/>
    </row>
    <row r="85" spans="3:21">
      <c r="C85" s="18"/>
      <c r="D85" s="151"/>
      <c r="E85" s="16"/>
      <c r="F85" s="16"/>
      <c r="G85" s="18" t="s">
        <v>93</v>
      </c>
      <c r="H85" s="156">
        <v>46087</v>
      </c>
      <c r="I85" s="47"/>
      <c r="J85" s="159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18"/>
    </row>
    <row r="86" spans="3:21">
      <c r="C86" s="18"/>
      <c r="D86" s="151"/>
      <c r="E86" s="16"/>
      <c r="F86" s="16"/>
      <c r="G86" s="18" t="s">
        <v>89</v>
      </c>
      <c r="H86" s="156">
        <v>46088</v>
      </c>
      <c r="I86" s="47"/>
      <c r="J86" s="159"/>
      <c r="K86" s="70"/>
      <c r="L86" s="160"/>
      <c r="M86" s="70"/>
      <c r="N86" s="160"/>
      <c r="O86" s="70"/>
      <c r="P86" s="160"/>
      <c r="Q86" s="70"/>
      <c r="R86" s="160"/>
      <c r="S86" s="70"/>
      <c r="T86" s="160"/>
      <c r="U86" s="18"/>
    </row>
    <row r="87" spans="3:21">
      <c r="C87" s="18"/>
      <c r="D87" s="151"/>
      <c r="E87" s="16"/>
      <c r="F87" s="16"/>
      <c r="G87" s="18" t="s">
        <v>175</v>
      </c>
      <c r="H87" s="156">
        <v>46089</v>
      </c>
      <c r="I87" s="47"/>
      <c r="J87" s="159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18"/>
    </row>
    <row r="88" spans="3:21">
      <c r="C88" s="18"/>
      <c r="D88" s="151"/>
      <c r="E88" s="16"/>
      <c r="F88" s="16"/>
      <c r="G88" s="18" t="s">
        <v>176</v>
      </c>
      <c r="H88" s="156">
        <v>46090</v>
      </c>
      <c r="I88" s="47"/>
      <c r="J88" s="159"/>
      <c r="K88" s="70"/>
      <c r="L88" s="160"/>
      <c r="M88" s="70"/>
      <c r="N88" s="160"/>
      <c r="O88" s="70"/>
      <c r="P88" s="160"/>
      <c r="Q88" s="70"/>
      <c r="R88" s="160"/>
      <c r="S88" s="70"/>
      <c r="T88" s="160"/>
      <c r="U88" s="18"/>
    </row>
    <row r="89" spans="3:21">
      <c r="C89" s="18"/>
      <c r="D89" s="151"/>
      <c r="E89" s="16"/>
      <c r="F89" s="16"/>
      <c r="G89" s="18" t="s">
        <v>105</v>
      </c>
      <c r="H89" s="156"/>
      <c r="I89" s="47"/>
      <c r="J89" s="159"/>
      <c r="K89" s="28"/>
      <c r="L89" s="9"/>
      <c r="M89" s="28"/>
      <c r="N89" s="18"/>
      <c r="O89" s="28"/>
      <c r="P89" s="28"/>
      <c r="Q89" s="70"/>
      <c r="R89" s="25"/>
      <c r="S89" s="70"/>
      <c r="T89" s="25"/>
      <c r="U89" s="18"/>
    </row>
    <row r="90" spans="3:21">
      <c r="C90" s="18" t="s">
        <v>129</v>
      </c>
      <c r="D90" s="151"/>
      <c r="E90" s="16" t="s">
        <v>179</v>
      </c>
      <c r="F90" s="16" t="s">
        <v>180</v>
      </c>
      <c r="G90" s="16" t="s">
        <v>78</v>
      </c>
      <c r="H90" s="156">
        <v>46085</v>
      </c>
      <c r="I90" s="47"/>
      <c r="J90" s="159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18"/>
    </row>
    <row r="91" spans="3:21">
      <c r="C91" s="18"/>
      <c r="D91" s="151"/>
      <c r="E91" s="16"/>
      <c r="F91" s="16"/>
      <c r="G91" s="18" t="s">
        <v>174</v>
      </c>
      <c r="H91" s="156">
        <v>46086</v>
      </c>
      <c r="I91" s="47"/>
      <c r="J91" s="159"/>
      <c r="K91" s="70"/>
      <c r="L91" s="160"/>
      <c r="M91" s="70"/>
      <c r="N91" s="160"/>
      <c r="O91" s="70"/>
      <c r="P91" s="160"/>
      <c r="Q91" s="70"/>
      <c r="R91" s="160"/>
      <c r="S91" s="70"/>
      <c r="T91" s="160"/>
      <c r="U91" s="18"/>
    </row>
    <row r="92" spans="3:21">
      <c r="C92" s="18"/>
      <c r="D92" s="151"/>
      <c r="E92" s="16"/>
      <c r="F92" s="16"/>
      <c r="G92" s="18" t="s">
        <v>93</v>
      </c>
      <c r="H92" s="156">
        <v>46087</v>
      </c>
      <c r="I92" s="47"/>
      <c r="J92" s="159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18"/>
    </row>
    <row r="93" spans="3:21">
      <c r="C93" s="18"/>
      <c r="D93" s="151"/>
      <c r="E93" s="16"/>
      <c r="F93" s="16"/>
      <c r="G93" s="18" t="s">
        <v>89</v>
      </c>
      <c r="H93" s="156">
        <v>46088</v>
      </c>
      <c r="I93" s="47"/>
      <c r="J93" s="159"/>
      <c r="K93" s="70"/>
      <c r="L93" s="160"/>
      <c r="M93" s="70"/>
      <c r="N93" s="160"/>
      <c r="O93" s="70"/>
      <c r="P93" s="160"/>
      <c r="Q93" s="70"/>
      <c r="R93" s="160"/>
      <c r="S93" s="70"/>
      <c r="T93" s="160"/>
      <c r="U93" s="18"/>
    </row>
    <row r="94" spans="3:21">
      <c r="C94" s="18"/>
      <c r="D94" s="151"/>
      <c r="E94" s="16"/>
      <c r="F94" s="16"/>
      <c r="G94" s="18" t="s">
        <v>175</v>
      </c>
      <c r="H94" s="156">
        <v>46089</v>
      </c>
      <c r="I94" s="47"/>
      <c r="J94" s="159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18"/>
    </row>
    <row r="95" spans="3:21">
      <c r="C95" s="18"/>
      <c r="D95" s="151"/>
      <c r="E95" s="16"/>
      <c r="F95" s="16"/>
      <c r="G95" s="18" t="s">
        <v>176</v>
      </c>
      <c r="H95" s="156">
        <v>46090</v>
      </c>
      <c r="I95" s="47"/>
      <c r="J95" s="159"/>
      <c r="K95" s="70"/>
      <c r="L95" s="160"/>
      <c r="M95" s="70"/>
      <c r="N95" s="160"/>
      <c r="O95" s="70"/>
      <c r="P95" s="160"/>
      <c r="Q95" s="70"/>
      <c r="R95" s="160"/>
      <c r="S95" s="70"/>
      <c r="T95" s="160"/>
      <c r="U95" s="18"/>
    </row>
    <row r="96" spans="3:21">
      <c r="C96" s="18"/>
      <c r="D96" s="151"/>
      <c r="E96" s="16"/>
      <c r="F96" s="16"/>
      <c r="G96" s="18" t="s">
        <v>105</v>
      </c>
      <c r="H96" s="156"/>
      <c r="I96" s="47"/>
      <c r="J96" s="159"/>
      <c r="K96" s="28"/>
      <c r="L96" s="9"/>
      <c r="M96" s="28"/>
      <c r="N96" s="18"/>
      <c r="O96" s="28"/>
      <c r="P96" s="28"/>
      <c r="Q96" s="70"/>
      <c r="R96" s="25"/>
      <c r="S96" s="70"/>
      <c r="T96" s="25"/>
      <c r="U96" s="18"/>
    </row>
    <row r="97" spans="3:21">
      <c r="C97" s="18" t="s">
        <v>129</v>
      </c>
      <c r="D97" s="151"/>
      <c r="E97" s="16" t="s">
        <v>181</v>
      </c>
      <c r="F97" s="16" t="s">
        <v>182</v>
      </c>
      <c r="G97" s="16" t="s">
        <v>78</v>
      </c>
      <c r="H97" s="156">
        <v>46085</v>
      </c>
      <c r="I97" s="47"/>
      <c r="J97" s="159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18"/>
    </row>
    <row r="98" spans="3:21">
      <c r="C98" s="18"/>
      <c r="D98" s="151"/>
      <c r="E98" s="16"/>
      <c r="F98" s="16"/>
      <c r="G98" s="18" t="s">
        <v>174</v>
      </c>
      <c r="H98" s="156">
        <v>46086</v>
      </c>
      <c r="I98" s="47"/>
      <c r="J98" s="159"/>
      <c r="K98" s="70"/>
      <c r="L98" s="160"/>
      <c r="M98" s="70"/>
      <c r="N98" s="160"/>
      <c r="O98" s="70"/>
      <c r="P98" s="160"/>
      <c r="Q98" s="70"/>
      <c r="R98" s="160"/>
      <c r="S98" s="70"/>
      <c r="T98" s="160"/>
      <c r="U98" s="18"/>
    </row>
    <row r="99" spans="3:21">
      <c r="C99" s="18"/>
      <c r="D99" s="151"/>
      <c r="E99" s="16"/>
      <c r="F99" s="16"/>
      <c r="G99" s="18" t="s">
        <v>93</v>
      </c>
      <c r="H99" s="156">
        <v>46087</v>
      </c>
      <c r="I99" s="47"/>
      <c r="J99" s="159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18"/>
    </row>
    <row r="100" spans="3:21">
      <c r="C100" s="18"/>
      <c r="D100" s="151"/>
      <c r="E100" s="16"/>
      <c r="F100" s="16"/>
      <c r="G100" s="18" t="s">
        <v>89</v>
      </c>
      <c r="H100" s="156">
        <v>46088</v>
      </c>
      <c r="I100" s="47"/>
      <c r="J100" s="159"/>
      <c r="K100" s="70"/>
      <c r="L100" s="160"/>
      <c r="M100" s="70"/>
      <c r="N100" s="160"/>
      <c r="O100" s="70"/>
      <c r="P100" s="160"/>
      <c r="Q100" s="70"/>
      <c r="R100" s="160"/>
      <c r="S100" s="70"/>
      <c r="T100" s="160"/>
      <c r="U100" s="18"/>
    </row>
    <row r="101" spans="3:21">
      <c r="C101" s="18"/>
      <c r="D101" s="151"/>
      <c r="E101" s="16"/>
      <c r="F101" s="16"/>
      <c r="G101" s="18" t="s">
        <v>175</v>
      </c>
      <c r="H101" s="156">
        <v>46089</v>
      </c>
      <c r="I101" s="47"/>
      <c r="J101" s="159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18"/>
    </row>
    <row r="102" spans="3:21">
      <c r="C102" s="18"/>
      <c r="D102" s="151"/>
      <c r="E102" s="16"/>
      <c r="F102" s="16"/>
      <c r="G102" s="18" t="s">
        <v>176</v>
      </c>
      <c r="H102" s="156">
        <v>46090</v>
      </c>
      <c r="I102" s="47"/>
      <c r="J102" s="159"/>
      <c r="K102" s="70"/>
      <c r="L102" s="160"/>
      <c r="M102" s="70"/>
      <c r="N102" s="160"/>
      <c r="O102" s="70"/>
      <c r="P102" s="160"/>
      <c r="Q102" s="70"/>
      <c r="R102" s="160"/>
      <c r="S102" s="70"/>
      <c r="T102" s="160"/>
      <c r="U102" s="18"/>
    </row>
    <row r="103" spans="3:21">
      <c r="C103" s="18"/>
      <c r="D103" s="152"/>
      <c r="E103" s="16"/>
      <c r="F103" s="16"/>
      <c r="G103" s="18" t="s">
        <v>105</v>
      </c>
      <c r="H103" s="156"/>
      <c r="I103" s="55"/>
      <c r="J103" s="161"/>
      <c r="K103" s="28"/>
      <c r="L103" s="9"/>
      <c r="M103" s="28"/>
      <c r="N103" s="18"/>
      <c r="O103" s="28"/>
      <c r="P103" s="28"/>
      <c r="Q103" s="70"/>
      <c r="R103" s="25"/>
      <c r="S103" s="70"/>
      <c r="T103" s="25"/>
      <c r="U103" s="18"/>
    </row>
    <row r="104" spans="3:21">
      <c r="C104" s="18" t="s">
        <v>129</v>
      </c>
      <c r="D104" s="153" t="s">
        <v>183</v>
      </c>
      <c r="E104" s="16" t="s">
        <v>131</v>
      </c>
      <c r="F104" s="16" t="s">
        <v>184</v>
      </c>
      <c r="G104" s="16" t="s">
        <v>78</v>
      </c>
      <c r="H104" s="156">
        <v>46085</v>
      </c>
      <c r="I104" s="158" t="s">
        <v>77</v>
      </c>
      <c r="J104" s="144" t="s">
        <v>173</v>
      </c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18"/>
    </row>
    <row r="105" spans="3:21">
      <c r="C105" s="18"/>
      <c r="D105" s="151"/>
      <c r="E105" s="16"/>
      <c r="F105" s="16"/>
      <c r="G105" s="18" t="s">
        <v>174</v>
      </c>
      <c r="H105" s="156">
        <v>46086</v>
      </c>
      <c r="I105" s="47"/>
      <c r="J105" s="159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18"/>
    </row>
    <row r="106" spans="3:21">
      <c r="C106" s="18"/>
      <c r="D106" s="151"/>
      <c r="E106" s="16"/>
      <c r="F106" s="16"/>
      <c r="G106" s="18" t="s">
        <v>93</v>
      </c>
      <c r="H106" s="156">
        <v>46087</v>
      </c>
      <c r="I106" s="47"/>
      <c r="J106" s="159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18"/>
    </row>
    <row r="107" spans="3:21">
      <c r="C107" s="18"/>
      <c r="D107" s="151"/>
      <c r="E107" s="16"/>
      <c r="F107" s="16"/>
      <c r="G107" s="18" t="s">
        <v>89</v>
      </c>
      <c r="H107" s="156">
        <v>46088</v>
      </c>
      <c r="I107" s="47"/>
      <c r="J107" s="159"/>
      <c r="K107" s="70"/>
      <c r="L107" s="160"/>
      <c r="M107" s="70"/>
      <c r="N107" s="160"/>
      <c r="O107" s="70"/>
      <c r="P107" s="160"/>
      <c r="Q107" s="70"/>
      <c r="R107" s="160"/>
      <c r="S107" s="70"/>
      <c r="T107" s="160"/>
      <c r="U107" s="18"/>
    </row>
    <row r="108" spans="3:21">
      <c r="C108" s="18"/>
      <c r="D108" s="151"/>
      <c r="E108" s="16"/>
      <c r="F108" s="16"/>
      <c r="G108" s="18" t="s">
        <v>175</v>
      </c>
      <c r="H108" s="156">
        <v>46089</v>
      </c>
      <c r="I108" s="47"/>
      <c r="J108" s="159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18"/>
    </row>
    <row r="109" spans="3:21">
      <c r="C109" s="18"/>
      <c r="D109" s="151"/>
      <c r="E109" s="16"/>
      <c r="F109" s="16"/>
      <c r="G109" s="18" t="s">
        <v>176</v>
      </c>
      <c r="H109" s="156">
        <v>46090</v>
      </c>
      <c r="I109" s="47"/>
      <c r="J109" s="159"/>
      <c r="K109" s="70"/>
      <c r="L109" s="160"/>
      <c r="M109" s="70"/>
      <c r="N109" s="160"/>
      <c r="O109" s="70"/>
      <c r="P109" s="160"/>
      <c r="Q109" s="70"/>
      <c r="R109" s="160"/>
      <c r="S109" s="70"/>
      <c r="T109" s="160"/>
      <c r="U109" s="18"/>
    </row>
    <row r="110" spans="3:21">
      <c r="C110" s="18"/>
      <c r="D110" s="151"/>
      <c r="E110" s="16"/>
      <c r="F110" s="16"/>
      <c r="G110" s="18" t="s">
        <v>105</v>
      </c>
      <c r="H110" s="156"/>
      <c r="I110" s="47"/>
      <c r="J110" s="159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18"/>
    </row>
    <row r="111" spans="3:21">
      <c r="C111" s="18" t="s">
        <v>129</v>
      </c>
      <c r="D111" s="151"/>
      <c r="E111" s="16" t="s">
        <v>134</v>
      </c>
      <c r="F111" s="16" t="s">
        <v>185</v>
      </c>
      <c r="G111" s="16" t="s">
        <v>78</v>
      </c>
      <c r="H111" s="156">
        <v>46085</v>
      </c>
      <c r="I111" s="47"/>
      <c r="J111" s="159"/>
      <c r="K111" s="70"/>
      <c r="L111" s="160"/>
      <c r="M111" s="70"/>
      <c r="N111" s="160"/>
      <c r="O111" s="70"/>
      <c r="P111" s="160"/>
      <c r="Q111" s="70"/>
      <c r="R111" s="160"/>
      <c r="S111" s="70"/>
      <c r="T111" s="160"/>
      <c r="U111" s="18"/>
    </row>
    <row r="112" spans="3:21">
      <c r="C112" s="18"/>
      <c r="D112" s="151"/>
      <c r="E112" s="16"/>
      <c r="F112" s="16"/>
      <c r="G112" s="18" t="s">
        <v>174</v>
      </c>
      <c r="H112" s="156">
        <v>46086</v>
      </c>
      <c r="I112" s="47"/>
      <c r="J112" s="159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18"/>
    </row>
    <row r="113" spans="3:21">
      <c r="C113" s="18"/>
      <c r="D113" s="151"/>
      <c r="E113" s="16"/>
      <c r="F113" s="16"/>
      <c r="G113" s="18" t="s">
        <v>93</v>
      </c>
      <c r="H113" s="156">
        <v>46087</v>
      </c>
      <c r="I113" s="47"/>
      <c r="J113" s="159"/>
      <c r="K113" s="70"/>
      <c r="L113" s="160"/>
      <c r="M113" s="70"/>
      <c r="N113" s="160"/>
      <c r="O113" s="70"/>
      <c r="P113" s="160"/>
      <c r="Q113" s="70"/>
      <c r="R113" s="160"/>
      <c r="S113" s="70"/>
      <c r="T113" s="160"/>
      <c r="U113" s="18"/>
    </row>
    <row r="114" spans="3:21">
      <c r="C114" s="18"/>
      <c r="D114" s="151"/>
      <c r="E114" s="16"/>
      <c r="F114" s="16"/>
      <c r="G114" s="18" t="s">
        <v>89</v>
      </c>
      <c r="H114" s="156">
        <v>46088</v>
      </c>
      <c r="I114" s="47"/>
      <c r="J114" s="159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18"/>
    </row>
    <row r="115" spans="3:21">
      <c r="C115" s="18"/>
      <c r="D115" s="151"/>
      <c r="E115" s="16"/>
      <c r="F115" s="16"/>
      <c r="G115" s="18" t="s">
        <v>175</v>
      </c>
      <c r="H115" s="156">
        <v>46089</v>
      </c>
      <c r="I115" s="47"/>
      <c r="J115" s="159"/>
      <c r="K115" s="70"/>
      <c r="L115" s="160"/>
      <c r="M115" s="70"/>
      <c r="N115" s="160"/>
      <c r="O115" s="70"/>
      <c r="P115" s="160"/>
      <c r="Q115" s="70"/>
      <c r="R115" s="160"/>
      <c r="S115" s="70"/>
      <c r="T115" s="160"/>
      <c r="U115" s="18"/>
    </row>
    <row r="116" spans="3:21">
      <c r="C116" s="18"/>
      <c r="D116" s="151"/>
      <c r="E116" s="16"/>
      <c r="F116" s="16"/>
      <c r="G116" s="18" t="s">
        <v>176</v>
      </c>
      <c r="H116" s="156">
        <v>46090</v>
      </c>
      <c r="I116" s="47"/>
      <c r="J116" s="159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18"/>
    </row>
    <row r="117" spans="3:21">
      <c r="C117" s="18"/>
      <c r="D117" s="151"/>
      <c r="E117" s="16"/>
      <c r="F117" s="16"/>
      <c r="G117" s="18" t="s">
        <v>105</v>
      </c>
      <c r="H117" s="156"/>
      <c r="I117" s="47"/>
      <c r="J117" s="159"/>
      <c r="K117" s="70"/>
      <c r="L117" s="160"/>
      <c r="M117" s="70"/>
      <c r="N117" s="160"/>
      <c r="O117" s="70"/>
      <c r="P117" s="160"/>
      <c r="Q117" s="70"/>
      <c r="R117" s="160"/>
      <c r="S117" s="70"/>
      <c r="T117" s="160"/>
      <c r="U117" s="18"/>
    </row>
    <row r="118" spans="3:21">
      <c r="C118" s="18" t="s">
        <v>129</v>
      </c>
      <c r="D118" s="151"/>
      <c r="E118" s="16" t="s">
        <v>136</v>
      </c>
      <c r="F118" s="16" t="s">
        <v>186</v>
      </c>
      <c r="G118" s="16" t="s">
        <v>78</v>
      </c>
      <c r="H118" s="156">
        <v>46085</v>
      </c>
      <c r="I118" s="47"/>
      <c r="J118" s="159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18"/>
    </row>
    <row r="119" spans="3:21">
      <c r="C119" s="18"/>
      <c r="D119" s="151"/>
      <c r="E119" s="16"/>
      <c r="F119" s="16"/>
      <c r="G119" s="18" t="s">
        <v>174</v>
      </c>
      <c r="H119" s="156">
        <v>46086</v>
      </c>
      <c r="I119" s="47"/>
      <c r="J119" s="159"/>
      <c r="K119" s="70"/>
      <c r="L119" s="160"/>
      <c r="M119" s="70"/>
      <c r="N119" s="160"/>
      <c r="O119" s="70"/>
      <c r="P119" s="160"/>
      <c r="Q119" s="70"/>
      <c r="R119" s="160"/>
      <c r="S119" s="70"/>
      <c r="T119" s="160"/>
      <c r="U119" s="18"/>
    </row>
    <row r="120" spans="3:21">
      <c r="C120" s="18"/>
      <c r="D120" s="151"/>
      <c r="E120" s="16"/>
      <c r="F120" s="16"/>
      <c r="G120" s="18" t="s">
        <v>93</v>
      </c>
      <c r="H120" s="156">
        <v>46087</v>
      </c>
      <c r="I120" s="47"/>
      <c r="J120" s="159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18"/>
    </row>
    <row r="121" spans="3:21">
      <c r="C121" s="18"/>
      <c r="D121" s="151"/>
      <c r="E121" s="16"/>
      <c r="F121" s="16"/>
      <c r="G121" s="18" t="s">
        <v>89</v>
      </c>
      <c r="H121" s="156">
        <v>46088</v>
      </c>
      <c r="I121" s="47"/>
      <c r="J121" s="159"/>
      <c r="K121" s="70"/>
      <c r="L121" s="160"/>
      <c r="M121" s="70"/>
      <c r="N121" s="160"/>
      <c r="O121" s="70"/>
      <c r="P121" s="160"/>
      <c r="Q121" s="70"/>
      <c r="R121" s="160"/>
      <c r="S121" s="70"/>
      <c r="T121" s="160"/>
      <c r="U121" s="18"/>
    </row>
    <row r="122" spans="3:21">
      <c r="C122" s="18"/>
      <c r="D122" s="151"/>
      <c r="E122" s="16"/>
      <c r="F122" s="16"/>
      <c r="G122" s="18" t="s">
        <v>175</v>
      </c>
      <c r="H122" s="156">
        <v>46089</v>
      </c>
      <c r="I122" s="47"/>
      <c r="J122" s="159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18"/>
    </row>
    <row r="123" spans="3:21">
      <c r="C123" s="18"/>
      <c r="D123" s="151"/>
      <c r="E123" s="16"/>
      <c r="F123" s="16"/>
      <c r="G123" s="18" t="s">
        <v>176</v>
      </c>
      <c r="H123" s="156">
        <v>46090</v>
      </c>
      <c r="I123" s="47"/>
      <c r="J123" s="159"/>
      <c r="K123" s="70"/>
      <c r="L123" s="160"/>
      <c r="M123" s="70"/>
      <c r="N123" s="160"/>
      <c r="O123" s="70"/>
      <c r="P123" s="160"/>
      <c r="Q123" s="70"/>
      <c r="R123" s="160"/>
      <c r="S123" s="70"/>
      <c r="T123" s="160"/>
      <c r="U123" s="18"/>
    </row>
    <row r="124" spans="3:21">
      <c r="C124" s="18"/>
      <c r="D124" s="151"/>
      <c r="E124" s="16"/>
      <c r="F124" s="16"/>
      <c r="G124" s="18" t="s">
        <v>105</v>
      </c>
      <c r="H124" s="156"/>
      <c r="I124" s="47"/>
      <c r="J124" s="159"/>
      <c r="K124" s="28"/>
      <c r="L124" s="9"/>
      <c r="M124" s="28"/>
      <c r="N124" s="18"/>
      <c r="O124" s="28"/>
      <c r="P124" s="28"/>
      <c r="Q124" s="70"/>
      <c r="R124" s="25"/>
      <c r="S124" s="70"/>
      <c r="T124" s="25"/>
      <c r="U124" s="18"/>
    </row>
    <row r="125" spans="3:21">
      <c r="C125" s="18" t="s">
        <v>129</v>
      </c>
      <c r="D125" s="151"/>
      <c r="E125" s="16" t="s">
        <v>179</v>
      </c>
      <c r="F125" s="16" t="s">
        <v>187</v>
      </c>
      <c r="G125" s="16" t="s">
        <v>78</v>
      </c>
      <c r="H125" s="156">
        <v>46085</v>
      </c>
      <c r="I125" s="47"/>
      <c r="J125" s="159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18"/>
    </row>
    <row r="126" spans="3:21">
      <c r="C126" s="18"/>
      <c r="D126" s="151"/>
      <c r="E126" s="16"/>
      <c r="F126" s="16"/>
      <c r="G126" s="18" t="s">
        <v>174</v>
      </c>
      <c r="H126" s="156">
        <v>46086</v>
      </c>
      <c r="I126" s="47"/>
      <c r="J126" s="159"/>
      <c r="K126" s="70"/>
      <c r="L126" s="160"/>
      <c r="M126" s="70"/>
      <c r="N126" s="160"/>
      <c r="O126" s="70"/>
      <c r="P126" s="160"/>
      <c r="Q126" s="70"/>
      <c r="R126" s="160"/>
      <c r="S126" s="70"/>
      <c r="T126" s="160"/>
      <c r="U126" s="18"/>
    </row>
    <row r="127" spans="3:21">
      <c r="C127" s="18"/>
      <c r="D127" s="151"/>
      <c r="E127" s="16"/>
      <c r="F127" s="16"/>
      <c r="G127" s="18" t="s">
        <v>93</v>
      </c>
      <c r="H127" s="156">
        <v>46087</v>
      </c>
      <c r="I127" s="47"/>
      <c r="J127" s="159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18"/>
    </row>
    <row r="128" spans="3:21">
      <c r="C128" s="18"/>
      <c r="D128" s="151"/>
      <c r="E128" s="16"/>
      <c r="F128" s="16"/>
      <c r="G128" s="18" t="s">
        <v>89</v>
      </c>
      <c r="H128" s="156">
        <v>46088</v>
      </c>
      <c r="I128" s="47"/>
      <c r="J128" s="159"/>
      <c r="K128" s="70"/>
      <c r="L128" s="160"/>
      <c r="M128" s="70"/>
      <c r="N128" s="160"/>
      <c r="O128" s="70"/>
      <c r="P128" s="160"/>
      <c r="Q128" s="70"/>
      <c r="R128" s="160"/>
      <c r="S128" s="70"/>
      <c r="T128" s="160"/>
      <c r="U128" s="18"/>
    </row>
    <row r="129" spans="3:21">
      <c r="C129" s="18"/>
      <c r="D129" s="151"/>
      <c r="E129" s="16"/>
      <c r="F129" s="16"/>
      <c r="G129" s="18" t="s">
        <v>175</v>
      </c>
      <c r="H129" s="156">
        <v>46089</v>
      </c>
      <c r="I129" s="47"/>
      <c r="J129" s="159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18"/>
    </row>
    <row r="130" spans="3:21">
      <c r="C130" s="18"/>
      <c r="D130" s="151"/>
      <c r="E130" s="16"/>
      <c r="F130" s="16"/>
      <c r="G130" s="18" t="s">
        <v>176</v>
      </c>
      <c r="H130" s="156">
        <v>46090</v>
      </c>
      <c r="I130" s="47"/>
      <c r="J130" s="159"/>
      <c r="K130" s="70"/>
      <c r="L130" s="160"/>
      <c r="M130" s="70"/>
      <c r="N130" s="160"/>
      <c r="O130" s="70"/>
      <c r="P130" s="160"/>
      <c r="Q130" s="70"/>
      <c r="R130" s="160"/>
      <c r="S130" s="70"/>
      <c r="T130" s="160"/>
      <c r="U130" s="18"/>
    </row>
    <row r="131" spans="3:21">
      <c r="C131" s="18"/>
      <c r="D131" s="151"/>
      <c r="E131" s="16"/>
      <c r="F131" s="16"/>
      <c r="G131" s="18" t="s">
        <v>105</v>
      </c>
      <c r="H131" s="156"/>
      <c r="I131" s="47"/>
      <c r="J131" s="159"/>
      <c r="K131" s="28"/>
      <c r="L131" s="9"/>
      <c r="M131" s="28"/>
      <c r="N131" s="18"/>
      <c r="O131" s="28"/>
      <c r="P131" s="28"/>
      <c r="Q131" s="70"/>
      <c r="R131" s="25"/>
      <c r="S131" s="70"/>
      <c r="T131" s="25"/>
      <c r="U131" s="18"/>
    </row>
    <row r="132" spans="3:21">
      <c r="C132" s="18" t="s">
        <v>129</v>
      </c>
      <c r="D132" s="151"/>
      <c r="E132" s="16" t="s">
        <v>181</v>
      </c>
      <c r="F132" s="16" t="s">
        <v>188</v>
      </c>
      <c r="G132" s="16" t="s">
        <v>78</v>
      </c>
      <c r="H132" s="156">
        <v>46085</v>
      </c>
      <c r="I132" s="47"/>
      <c r="J132" s="159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18"/>
    </row>
    <row r="133" spans="3:21">
      <c r="C133" s="18"/>
      <c r="D133" s="151"/>
      <c r="E133" s="16"/>
      <c r="F133" s="16"/>
      <c r="G133" s="18" t="s">
        <v>174</v>
      </c>
      <c r="H133" s="156">
        <v>46086</v>
      </c>
      <c r="I133" s="47"/>
      <c r="J133" s="159"/>
      <c r="K133" s="70"/>
      <c r="L133" s="160"/>
      <c r="M133" s="70"/>
      <c r="N133" s="160"/>
      <c r="O133" s="70"/>
      <c r="P133" s="160"/>
      <c r="Q133" s="70"/>
      <c r="R133" s="160"/>
      <c r="S133" s="70"/>
      <c r="T133" s="160"/>
      <c r="U133" s="18"/>
    </row>
    <row r="134" spans="3:21">
      <c r="C134" s="18"/>
      <c r="D134" s="151"/>
      <c r="E134" s="16"/>
      <c r="F134" s="16"/>
      <c r="G134" s="18" t="s">
        <v>93</v>
      </c>
      <c r="H134" s="156">
        <v>46087</v>
      </c>
      <c r="I134" s="47"/>
      <c r="J134" s="159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18"/>
    </row>
    <row r="135" spans="3:21">
      <c r="C135" s="18"/>
      <c r="D135" s="151"/>
      <c r="E135" s="16"/>
      <c r="F135" s="16"/>
      <c r="G135" s="18" t="s">
        <v>89</v>
      </c>
      <c r="H135" s="156">
        <v>46088</v>
      </c>
      <c r="I135" s="47"/>
      <c r="J135" s="159"/>
      <c r="K135" s="70"/>
      <c r="L135" s="160"/>
      <c r="M135" s="70"/>
      <c r="N135" s="160"/>
      <c r="O135" s="70"/>
      <c r="P135" s="160"/>
      <c r="Q135" s="70"/>
      <c r="R135" s="160"/>
      <c r="S135" s="70"/>
      <c r="T135" s="160"/>
      <c r="U135" s="18"/>
    </row>
    <row r="136" spans="3:21">
      <c r="C136" s="18"/>
      <c r="D136" s="151"/>
      <c r="E136" s="16"/>
      <c r="F136" s="16"/>
      <c r="G136" s="18" t="s">
        <v>175</v>
      </c>
      <c r="H136" s="156">
        <v>46089</v>
      </c>
      <c r="I136" s="47"/>
      <c r="J136" s="159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18"/>
    </row>
    <row r="137" spans="3:21">
      <c r="C137" s="18"/>
      <c r="D137" s="151"/>
      <c r="E137" s="16"/>
      <c r="F137" s="16"/>
      <c r="G137" s="18" t="s">
        <v>176</v>
      </c>
      <c r="H137" s="156">
        <v>46090</v>
      </c>
      <c r="I137" s="47"/>
      <c r="J137" s="159"/>
      <c r="K137" s="70"/>
      <c r="L137" s="160"/>
      <c r="M137" s="70"/>
      <c r="N137" s="160"/>
      <c r="O137" s="70"/>
      <c r="P137" s="160"/>
      <c r="Q137" s="70"/>
      <c r="R137" s="160"/>
      <c r="S137" s="70"/>
      <c r="T137" s="160"/>
      <c r="U137" s="18"/>
    </row>
    <row r="138" spans="3:21">
      <c r="C138" s="18"/>
      <c r="D138" s="152"/>
      <c r="E138" s="16"/>
      <c r="F138" s="16"/>
      <c r="G138" s="18" t="s">
        <v>105</v>
      </c>
      <c r="H138" s="156"/>
      <c r="I138" s="55"/>
      <c r="J138" s="161"/>
      <c r="K138" s="28"/>
      <c r="L138" s="9"/>
      <c r="M138" s="28"/>
      <c r="N138" s="18"/>
      <c r="O138" s="28"/>
      <c r="P138" s="28"/>
      <c r="Q138" s="70"/>
      <c r="R138" s="25"/>
      <c r="S138" s="70"/>
      <c r="T138" s="25"/>
      <c r="U138" s="18"/>
    </row>
  </sheetData>
  <autoFilter ref="A2:F138">
    <extLst/>
  </autoFilter>
  <mergeCells count="114">
    <mergeCell ref="C3:C6"/>
    <mergeCell ref="C7:C10"/>
    <mergeCell ref="C11:C14"/>
    <mergeCell ref="C15:C18"/>
    <mergeCell ref="C19:C22"/>
    <mergeCell ref="C23:C26"/>
    <mergeCell ref="C27:C28"/>
    <mergeCell ref="C29:C30"/>
    <mergeCell ref="C31:C32"/>
    <mergeCell ref="C33:C36"/>
    <mergeCell ref="C37:C40"/>
    <mergeCell ref="C41:C44"/>
    <mergeCell ref="C45:C50"/>
    <mergeCell ref="C51:C56"/>
    <mergeCell ref="C57:C62"/>
    <mergeCell ref="C63:C64"/>
    <mergeCell ref="C65:C66"/>
    <mergeCell ref="C67:C68"/>
    <mergeCell ref="C69:C75"/>
    <mergeCell ref="C76:C82"/>
    <mergeCell ref="C83:C89"/>
    <mergeCell ref="C90:C96"/>
    <mergeCell ref="C97:C103"/>
    <mergeCell ref="C104:C110"/>
    <mergeCell ref="C111:C117"/>
    <mergeCell ref="C118:C124"/>
    <mergeCell ref="C125:C131"/>
    <mergeCell ref="C132:C138"/>
    <mergeCell ref="D3:D14"/>
    <mergeCell ref="D15:D26"/>
    <mergeCell ref="D27:D32"/>
    <mergeCell ref="D33:D44"/>
    <mergeCell ref="D45:D62"/>
    <mergeCell ref="D63:D68"/>
    <mergeCell ref="D69:D103"/>
    <mergeCell ref="D104:D138"/>
    <mergeCell ref="E3:E6"/>
    <mergeCell ref="E7:E10"/>
    <mergeCell ref="E11:E14"/>
    <mergeCell ref="E15:E18"/>
    <mergeCell ref="E19:E22"/>
    <mergeCell ref="E23:E26"/>
    <mergeCell ref="E27:E28"/>
    <mergeCell ref="E29:E30"/>
    <mergeCell ref="E31:E32"/>
    <mergeCell ref="E33:E36"/>
    <mergeCell ref="E37:E40"/>
    <mergeCell ref="E41:E44"/>
    <mergeCell ref="E45:E50"/>
    <mergeCell ref="E51:E56"/>
    <mergeCell ref="E57:E62"/>
    <mergeCell ref="E63:E64"/>
    <mergeCell ref="E65:E66"/>
    <mergeCell ref="E67:E68"/>
    <mergeCell ref="E69:E75"/>
    <mergeCell ref="E76:E82"/>
    <mergeCell ref="E83:E89"/>
    <mergeCell ref="E90:E96"/>
    <mergeCell ref="E97:E103"/>
    <mergeCell ref="E104:E110"/>
    <mergeCell ref="E111:E117"/>
    <mergeCell ref="E118:E124"/>
    <mergeCell ref="E125:E131"/>
    <mergeCell ref="E132:E138"/>
    <mergeCell ref="F3:F6"/>
    <mergeCell ref="F7:F10"/>
    <mergeCell ref="F11:F14"/>
    <mergeCell ref="F15:F18"/>
    <mergeCell ref="F19:F22"/>
    <mergeCell ref="F23:F26"/>
    <mergeCell ref="F27:F28"/>
    <mergeCell ref="F29:F30"/>
    <mergeCell ref="F31:F32"/>
    <mergeCell ref="F33:F36"/>
    <mergeCell ref="F37:F40"/>
    <mergeCell ref="F41:F44"/>
    <mergeCell ref="F45:F50"/>
    <mergeCell ref="F51:F56"/>
    <mergeCell ref="F57:F62"/>
    <mergeCell ref="F63:F64"/>
    <mergeCell ref="F65:F66"/>
    <mergeCell ref="F67:F68"/>
    <mergeCell ref="F69:F75"/>
    <mergeCell ref="F76:F82"/>
    <mergeCell ref="F83:F89"/>
    <mergeCell ref="F90:F96"/>
    <mergeCell ref="F97:F103"/>
    <mergeCell ref="F104:F110"/>
    <mergeCell ref="F111:F117"/>
    <mergeCell ref="F118:F124"/>
    <mergeCell ref="F125:F131"/>
    <mergeCell ref="F132:F138"/>
    <mergeCell ref="I3:I14"/>
    <mergeCell ref="I15:I26"/>
    <mergeCell ref="I27:I32"/>
    <mergeCell ref="I33:I44"/>
    <mergeCell ref="I45:I62"/>
    <mergeCell ref="I63:I68"/>
    <mergeCell ref="I69:I103"/>
    <mergeCell ref="I104:I138"/>
    <mergeCell ref="J3:J14"/>
    <mergeCell ref="J15:J26"/>
    <mergeCell ref="J27:J32"/>
    <mergeCell ref="J33:J44"/>
    <mergeCell ref="J45:J62"/>
    <mergeCell ref="J63:J68"/>
    <mergeCell ref="J69:J103"/>
    <mergeCell ref="J104:J138"/>
    <mergeCell ref="U3:U14"/>
    <mergeCell ref="U15:U26"/>
    <mergeCell ref="U27:U32"/>
    <mergeCell ref="U33:U44"/>
    <mergeCell ref="U45:U62"/>
    <mergeCell ref="U63:U67"/>
  </mergeCells>
  <conditionalFormatting sqref="I3">
    <cfRule type="cellIs" dxfId="4" priority="56" operator="equal">
      <formula>"Fail"</formula>
    </cfRule>
    <cfRule type="cellIs" dxfId="2" priority="55" operator="equal">
      <formula>"Pass"</formula>
    </cfRule>
    <cfRule type="cellIs" dxfId="0" priority="54" operator="equal">
      <formula>"Ongoing"</formula>
    </cfRule>
    <cfRule type="cellIs" dxfId="5" priority="53" operator="equal">
      <formula>"Not started"</formula>
    </cfRule>
    <cfRule type="cellIs" dxfId="1" priority="52" operator="equal">
      <formula>"Not stared"</formula>
    </cfRule>
    <cfRule type="cellIs" dxfId="3" priority="51" operator="equal">
      <formula>"N/A"</formula>
    </cfRule>
    <cfRule type="cellIs" dxfId="6" priority="50" operator="equal">
      <formula>"Not started"</formula>
    </cfRule>
  </conditionalFormatting>
  <conditionalFormatting sqref="I15">
    <cfRule type="cellIs" dxfId="4" priority="35" operator="equal">
      <formula>"Fail"</formula>
    </cfRule>
    <cfRule type="cellIs" dxfId="2" priority="34" operator="equal">
      <formula>"Pass"</formula>
    </cfRule>
    <cfRule type="cellIs" dxfId="0" priority="33" operator="equal">
      <formula>"Ongoing"</formula>
    </cfRule>
    <cfRule type="cellIs" dxfId="5" priority="32" operator="equal">
      <formula>"Not started"</formula>
    </cfRule>
    <cfRule type="cellIs" dxfId="1" priority="31" operator="equal">
      <formula>"Not stared"</formula>
    </cfRule>
    <cfRule type="cellIs" dxfId="3" priority="30" operator="equal">
      <formula>"N/A"</formula>
    </cfRule>
    <cfRule type="cellIs" dxfId="6" priority="29" operator="equal">
      <formula>"Not started"</formula>
    </cfRule>
  </conditionalFormatting>
  <conditionalFormatting sqref="I27">
    <cfRule type="cellIs" dxfId="4" priority="49" operator="equal">
      <formula>"Fail"</formula>
    </cfRule>
    <cfRule type="cellIs" dxfId="2" priority="48" operator="equal">
      <formula>"Pass"</formula>
    </cfRule>
    <cfRule type="cellIs" dxfId="0" priority="47" operator="equal">
      <formula>"Ongoing"</formula>
    </cfRule>
    <cfRule type="cellIs" dxfId="5" priority="46" operator="equal">
      <formula>"Not started"</formula>
    </cfRule>
    <cfRule type="cellIs" dxfId="1" priority="45" operator="equal">
      <formula>"Not stared"</formula>
    </cfRule>
    <cfRule type="cellIs" dxfId="3" priority="44" operator="equal">
      <formula>"N/A"</formula>
    </cfRule>
    <cfRule type="cellIs" dxfId="6" priority="43" operator="equal">
      <formula>"Not started"</formula>
    </cfRule>
  </conditionalFormatting>
  <conditionalFormatting sqref="I33">
    <cfRule type="cellIs" dxfId="4" priority="42" operator="equal">
      <formula>"Fail"</formula>
    </cfRule>
    <cfRule type="cellIs" dxfId="2" priority="41" operator="equal">
      <formula>"Pass"</formula>
    </cfRule>
    <cfRule type="cellIs" dxfId="0" priority="40" operator="equal">
      <formula>"Ongoing"</formula>
    </cfRule>
    <cfRule type="cellIs" dxfId="5" priority="39" operator="equal">
      <formula>"Not started"</formula>
    </cfRule>
    <cfRule type="cellIs" dxfId="1" priority="38" operator="equal">
      <formula>"Not stared"</formula>
    </cfRule>
    <cfRule type="cellIs" dxfId="3" priority="37" operator="equal">
      <formula>"N/A"</formula>
    </cfRule>
    <cfRule type="cellIs" dxfId="6" priority="36" operator="equal">
      <formula>"Not started"</formula>
    </cfRule>
  </conditionalFormatting>
  <conditionalFormatting sqref="I45">
    <cfRule type="cellIs" dxfId="4" priority="28" operator="equal">
      <formula>"Fail"</formula>
    </cfRule>
    <cfRule type="cellIs" dxfId="2" priority="27" operator="equal">
      <formula>"Pass"</formula>
    </cfRule>
    <cfRule type="cellIs" dxfId="0" priority="26" operator="equal">
      <formula>"Ongoing"</formula>
    </cfRule>
    <cfRule type="cellIs" dxfId="5" priority="25" operator="equal">
      <formula>"Not started"</formula>
    </cfRule>
    <cfRule type="cellIs" dxfId="1" priority="24" operator="equal">
      <formula>"Not stared"</formula>
    </cfRule>
    <cfRule type="cellIs" dxfId="3" priority="23" operator="equal">
      <formula>"N/A"</formula>
    </cfRule>
    <cfRule type="cellIs" dxfId="6" priority="22" operator="equal">
      <formula>"Not started"</formula>
    </cfRule>
  </conditionalFormatting>
  <conditionalFormatting sqref="I69">
    <cfRule type="cellIs" dxfId="6" priority="8" operator="equal">
      <formula>"Not started"</formula>
    </cfRule>
    <cfRule type="cellIs" dxfId="3" priority="9" operator="equal">
      <formula>"N/A"</formula>
    </cfRule>
    <cfRule type="cellIs" dxfId="1" priority="10" operator="equal">
      <formula>"Not stared"</formula>
    </cfRule>
    <cfRule type="cellIs" dxfId="5" priority="11" operator="equal">
      <formula>"Not started"</formula>
    </cfRule>
    <cfRule type="cellIs" dxfId="0" priority="12" operator="equal">
      <formula>"Ongoing"</formula>
    </cfRule>
    <cfRule type="cellIs" dxfId="2" priority="13" operator="equal">
      <formula>"Pass"</formula>
    </cfRule>
    <cfRule type="cellIs" dxfId="4" priority="14" operator="equal">
      <formula>"Fail"</formula>
    </cfRule>
  </conditionalFormatting>
  <conditionalFormatting sqref="I104">
    <cfRule type="cellIs" dxfId="4" priority="7" operator="equal">
      <formula>"Fail"</formula>
    </cfRule>
    <cfRule type="cellIs" dxfId="2" priority="6" operator="equal">
      <formula>"Pass"</formula>
    </cfRule>
    <cfRule type="cellIs" dxfId="0" priority="5" operator="equal">
      <formula>"Ongoing"</formula>
    </cfRule>
    <cfRule type="cellIs" dxfId="5" priority="4" operator="equal">
      <formula>"Not started"</formula>
    </cfRule>
    <cfRule type="cellIs" dxfId="1" priority="3" operator="equal">
      <formula>"Not stared"</formula>
    </cfRule>
    <cfRule type="cellIs" dxfId="3" priority="2" operator="equal">
      <formula>"N/A"</formula>
    </cfRule>
    <cfRule type="cellIs" dxfId="6" priority="1" operator="equal">
      <formula>"Not started"</formula>
    </cfRule>
  </conditionalFormatting>
  <conditionalFormatting sqref="I63:I64">
    <cfRule type="cellIs" dxfId="6" priority="15" operator="equal">
      <formula>"Not started"</formula>
    </cfRule>
    <cfRule type="cellIs" dxfId="3" priority="16" operator="equal">
      <formula>"N/A"</formula>
    </cfRule>
    <cfRule type="cellIs" dxfId="1" priority="17" operator="equal">
      <formula>"Not stared"</formula>
    </cfRule>
    <cfRule type="cellIs" dxfId="5" priority="18" operator="equal">
      <formula>"Not started"</formula>
    </cfRule>
    <cfRule type="cellIs" dxfId="0" priority="19" operator="equal">
      <formula>"Ongoing"</formula>
    </cfRule>
    <cfRule type="cellIs" dxfId="2" priority="20" operator="equal">
      <formula>"Pass"</formula>
    </cfRule>
    <cfRule type="cellIs" dxfId="4" priority="21" operator="equal">
      <formula>"Fail"</formula>
    </cfRule>
  </conditionalFormatting>
  <dataValidations count="1">
    <dataValidation type="list" allowBlank="1" showInputMessage="1" showErrorMessage="1" sqref="I3 I7 I11 I15 I27 I29 I31 I33 I45 I69 I104 I63:I64">
      <formula1>"Fail,Pass,Ongoing,Not started,N/A"</formula1>
    </dataValidation>
  </dataValidation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X62"/>
  <sheetViews>
    <sheetView zoomScale="50" zoomScaleNormal="50" workbookViewId="0">
      <pane xSplit="8" ySplit="2" topLeftCell="I3" activePane="bottomRight" state="frozen"/>
      <selection/>
      <selection pane="topRight"/>
      <selection pane="bottomLeft"/>
      <selection pane="bottomRight" activeCell="L15" sqref="L15"/>
    </sheetView>
  </sheetViews>
  <sheetFormatPr defaultColWidth="8.73333333333333" defaultRowHeight="50" customHeight="1"/>
  <cols>
    <col min="1" max="2" width="8.81333333333333" style="4" hidden="1" customWidth="1"/>
    <col min="3" max="3" width="21.1866666666667" style="4" hidden="1" customWidth="1"/>
    <col min="4" max="4" width="13.4088888888889" style="4" customWidth="1"/>
    <col min="5" max="5" width="26.36" style="5" customWidth="1"/>
    <col min="6" max="6" width="9.09333333333333" style="6" customWidth="1"/>
    <col min="7" max="7" width="8.81333333333333" style="6" customWidth="1"/>
    <col min="8" max="8" width="26.48" style="6" customWidth="1"/>
    <col min="9" max="9" width="12.64" style="4" customWidth="1"/>
    <col min="10" max="13" width="11.5466666666667" style="4" customWidth="1"/>
    <col min="14" max="15" width="17.2666666666667" style="4" customWidth="1"/>
    <col min="16" max="19" width="11.5466666666667" style="4" customWidth="1"/>
    <col min="20" max="20" width="9.54666666666667" style="4" customWidth="1"/>
    <col min="21" max="25" width="11.5466666666667" style="4" customWidth="1"/>
    <col min="26" max="26" width="16.9644444444444" style="4" customWidth="1"/>
    <col min="27" max="42" width="11.5466666666667" style="4" customWidth="1"/>
    <col min="43" max="43" width="21.8133333333333" style="4" customWidth="1"/>
    <col min="44" max="44" width="21.8133333333333" style="7" customWidth="1"/>
    <col min="45" max="45" width="22.0444444444444" style="4" customWidth="1"/>
    <col min="46" max="46" width="25" style="7" customWidth="1"/>
    <col min="47" max="47" width="14.8888888888889" style="6" customWidth="1"/>
    <col min="48" max="49" width="70.64" style="4" customWidth="1"/>
    <col min="50" max="50" width="160" style="4" customWidth="1"/>
    <col min="51" max="51" width="48.64" style="4" customWidth="1"/>
    <col min="52" max="16384" width="8.73333333333333" style="4"/>
  </cols>
  <sheetData>
    <row r="1" s="1" customFormat="1" ht="26" customHeight="1" spans="1:50">
      <c r="A1" s="8" t="s">
        <v>189</v>
      </c>
      <c r="B1" s="8"/>
      <c r="C1" s="8"/>
      <c r="D1" s="8"/>
      <c r="E1" s="12" t="s">
        <v>190</v>
      </c>
      <c r="F1" s="13"/>
      <c r="G1" s="13"/>
      <c r="H1" s="13"/>
      <c r="I1" s="19" t="s">
        <v>191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 t="s">
        <v>192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 t="s">
        <v>193</v>
      </c>
      <c r="AR1" s="22"/>
      <c r="AS1" s="21"/>
      <c r="AT1" s="22"/>
      <c r="AU1" s="21"/>
      <c r="AV1" s="23" t="s">
        <v>194</v>
      </c>
      <c r="AW1" s="23"/>
      <c r="AX1" s="23"/>
    </row>
    <row r="2" s="2" customFormat="1" ht="36" customHeight="1" spans="1:50">
      <c r="A2" s="8" t="s">
        <v>109</v>
      </c>
      <c r="B2" s="8" t="s">
        <v>110</v>
      </c>
      <c r="C2" s="8" t="s">
        <v>195</v>
      </c>
      <c r="D2" s="8" t="s">
        <v>196</v>
      </c>
      <c r="E2" s="12" t="s">
        <v>112</v>
      </c>
      <c r="F2" s="13" t="s">
        <v>114</v>
      </c>
      <c r="G2" s="13" t="s">
        <v>197</v>
      </c>
      <c r="H2" s="14" t="s">
        <v>113</v>
      </c>
      <c r="I2" s="19" t="s">
        <v>198</v>
      </c>
      <c r="J2" s="19" t="s">
        <v>199</v>
      </c>
      <c r="K2" s="19" t="s">
        <v>200</v>
      </c>
      <c r="L2" s="19" t="s">
        <v>201</v>
      </c>
      <c r="M2" s="19" t="s">
        <v>202</v>
      </c>
      <c r="N2" s="19" t="s">
        <v>203</v>
      </c>
      <c r="O2" s="19" t="s">
        <v>204</v>
      </c>
      <c r="P2" s="19" t="s">
        <v>205</v>
      </c>
      <c r="Q2" s="19" t="s">
        <v>206</v>
      </c>
      <c r="R2" s="19" t="s">
        <v>207</v>
      </c>
      <c r="S2" s="19" t="s">
        <v>208</v>
      </c>
      <c r="T2" s="19" t="s">
        <v>209</v>
      </c>
      <c r="U2" s="19" t="s">
        <v>210</v>
      </c>
      <c r="V2" s="19" t="s">
        <v>211</v>
      </c>
      <c r="W2" s="19" t="s">
        <v>212</v>
      </c>
      <c r="X2" s="19" t="s">
        <v>213</v>
      </c>
      <c r="Y2" s="19" t="s">
        <v>214</v>
      </c>
      <c r="Z2" s="20" t="s">
        <v>215</v>
      </c>
      <c r="AA2" s="20" t="s">
        <v>216</v>
      </c>
      <c r="AB2" s="20" t="s">
        <v>217</v>
      </c>
      <c r="AC2" s="20" t="s">
        <v>218</v>
      </c>
      <c r="AD2" s="20" t="s">
        <v>219</v>
      </c>
      <c r="AE2" s="20" t="s">
        <v>220</v>
      </c>
      <c r="AF2" s="20" t="s">
        <v>221</v>
      </c>
      <c r="AG2" s="20" t="s">
        <v>222</v>
      </c>
      <c r="AH2" s="20" t="s">
        <v>223</v>
      </c>
      <c r="AI2" s="20" t="s">
        <v>224</v>
      </c>
      <c r="AJ2" s="20" t="s">
        <v>225</v>
      </c>
      <c r="AK2" s="20" t="s">
        <v>226</v>
      </c>
      <c r="AL2" s="20" t="s">
        <v>227</v>
      </c>
      <c r="AM2" s="20" t="s">
        <v>228</v>
      </c>
      <c r="AN2" s="20" t="s">
        <v>229</v>
      </c>
      <c r="AO2" s="20" t="s">
        <v>230</v>
      </c>
      <c r="AP2" s="20" t="s">
        <v>231</v>
      </c>
      <c r="AQ2" s="23" t="s">
        <v>232</v>
      </c>
      <c r="AR2" s="23" t="s">
        <v>233</v>
      </c>
      <c r="AS2" s="21" t="s">
        <v>234</v>
      </c>
      <c r="AT2" s="21" t="s">
        <v>235</v>
      </c>
      <c r="AU2" s="21" t="s">
        <v>236</v>
      </c>
      <c r="AV2" s="23" t="s">
        <v>237</v>
      </c>
      <c r="AW2" s="23" t="s">
        <v>238</v>
      </c>
      <c r="AX2" s="23" t="s">
        <v>239</v>
      </c>
    </row>
    <row r="3" s="3" customFormat="1" customHeight="1" spans="1:50">
      <c r="A3" s="9"/>
      <c r="B3" s="9"/>
      <c r="C3" s="9"/>
      <c r="D3" s="9" t="s">
        <v>129</v>
      </c>
      <c r="E3" s="15" t="s">
        <v>240</v>
      </c>
      <c r="F3" s="9" t="s">
        <v>78</v>
      </c>
      <c r="G3" s="9" t="s">
        <v>131</v>
      </c>
      <c r="H3" s="9" t="s">
        <v>132</v>
      </c>
      <c r="I3" s="9">
        <v>0.553744</v>
      </c>
      <c r="J3" s="9">
        <v>0.559291</v>
      </c>
      <c r="K3" s="9">
        <v>0.55186</v>
      </c>
      <c r="L3" s="9">
        <v>0.53383</v>
      </c>
      <c r="M3" s="9">
        <v>0.546482</v>
      </c>
      <c r="N3" s="9">
        <v>0.529355</v>
      </c>
      <c r="O3" s="9">
        <v>0.520797</v>
      </c>
      <c r="P3" s="9">
        <v>0.550355</v>
      </c>
      <c r="Q3" s="9">
        <v>0.511707</v>
      </c>
      <c r="R3" s="9">
        <v>0.528851</v>
      </c>
      <c r="S3" s="9">
        <v>0.527298</v>
      </c>
      <c r="T3" s="9">
        <v>0.519227</v>
      </c>
      <c r="U3" s="9">
        <v>0.485006</v>
      </c>
      <c r="V3" s="9">
        <v>0.494397</v>
      </c>
      <c r="W3" s="9">
        <v>0.459244</v>
      </c>
      <c r="X3" s="9">
        <v>0.465555</v>
      </c>
      <c r="Y3" s="9">
        <v>0.373885</v>
      </c>
      <c r="Z3" s="9">
        <v>0.578225</v>
      </c>
      <c r="AA3" s="9">
        <v>0.574544</v>
      </c>
      <c r="AB3" s="9">
        <v>0.595256</v>
      </c>
      <c r="AC3" s="9">
        <v>0.60052</v>
      </c>
      <c r="AD3" s="9">
        <v>0.535871</v>
      </c>
      <c r="AE3" s="9">
        <v>0.528872</v>
      </c>
      <c r="AF3" s="9">
        <v>0.595627</v>
      </c>
      <c r="AG3" s="9">
        <v>0.57414</v>
      </c>
      <c r="AH3" s="9">
        <v>0.472224</v>
      </c>
      <c r="AI3" s="9">
        <v>0.552223</v>
      </c>
      <c r="AJ3" s="9">
        <v>0.60204</v>
      </c>
      <c r="AK3" s="9">
        <v>0.539717</v>
      </c>
      <c r="AL3" s="9">
        <v>0.504874</v>
      </c>
      <c r="AM3" s="9">
        <v>0.530626</v>
      </c>
      <c r="AN3" s="9">
        <v>0.631578</v>
      </c>
      <c r="AO3" s="9">
        <v>0.536323</v>
      </c>
      <c r="AP3" s="9">
        <v>0.361619</v>
      </c>
      <c r="AQ3" s="24">
        <f t="shared" ref="AQ3:AQ9" si="0">MIN(I3:Y3)</f>
        <v>0.373885</v>
      </c>
      <c r="AR3" s="25"/>
      <c r="AS3" s="24">
        <f t="shared" ref="AS3:AS9" si="1">MIN(Z3:AP3)</f>
        <v>0.361619</v>
      </c>
      <c r="AT3" s="25"/>
      <c r="AU3" s="9"/>
      <c r="AV3" s="28"/>
      <c r="AW3" s="28"/>
      <c r="AX3" s="28"/>
    </row>
    <row r="4" s="3" customFormat="1" customHeight="1" spans="1:50">
      <c r="A4" s="9"/>
      <c r="B4" s="9"/>
      <c r="C4" s="9"/>
      <c r="D4" s="9" t="s">
        <v>129</v>
      </c>
      <c r="E4" s="15"/>
      <c r="F4" s="9" t="s">
        <v>92</v>
      </c>
      <c r="G4" s="9" t="s">
        <v>131</v>
      </c>
      <c r="H4" s="9" t="s">
        <v>132</v>
      </c>
      <c r="I4" s="9">
        <v>0.550488</v>
      </c>
      <c r="J4" s="9">
        <v>0.54126</v>
      </c>
      <c r="K4" s="9">
        <v>0.544679</v>
      </c>
      <c r="L4" s="9">
        <v>0.536209</v>
      </c>
      <c r="M4" s="9">
        <v>0.561325</v>
      </c>
      <c r="N4" s="9">
        <v>0.54857</v>
      </c>
      <c r="O4" s="9">
        <v>0.52276</v>
      </c>
      <c r="P4" s="9">
        <v>0.54568</v>
      </c>
      <c r="Q4" s="9">
        <v>0.509089</v>
      </c>
      <c r="R4" s="9">
        <v>0.549868</v>
      </c>
      <c r="S4" s="9">
        <v>0.469064</v>
      </c>
      <c r="T4" s="9">
        <v>0.510566</v>
      </c>
      <c r="U4" s="9">
        <v>0.471882</v>
      </c>
      <c r="V4" s="9">
        <v>0.525363</v>
      </c>
      <c r="W4" s="9">
        <v>0.509418</v>
      </c>
      <c r="X4" s="9">
        <v>0.431114</v>
      </c>
      <c r="Y4" s="9">
        <v>0.426307</v>
      </c>
      <c r="Z4" s="9">
        <v>0.56138</v>
      </c>
      <c r="AA4" s="9">
        <v>0.567226</v>
      </c>
      <c r="AB4" s="9">
        <v>0.6022</v>
      </c>
      <c r="AC4" s="9">
        <v>0.569626</v>
      </c>
      <c r="AD4" s="9">
        <v>0.524555</v>
      </c>
      <c r="AE4" s="9">
        <v>0.54181</v>
      </c>
      <c r="AF4" s="9">
        <v>0.548058</v>
      </c>
      <c r="AG4" s="9">
        <v>0.560929</v>
      </c>
      <c r="AH4" s="9">
        <v>0.473193</v>
      </c>
      <c r="AI4" s="9">
        <v>0.551901</v>
      </c>
      <c r="AJ4" s="9">
        <v>0.61123</v>
      </c>
      <c r="AK4" s="9">
        <v>0.502728</v>
      </c>
      <c r="AL4" s="9">
        <v>0.474477</v>
      </c>
      <c r="AM4" s="9">
        <v>0.553277</v>
      </c>
      <c r="AN4" s="9">
        <v>0.615761</v>
      </c>
      <c r="AO4" s="9">
        <v>0.501989</v>
      </c>
      <c r="AP4" s="9">
        <v>0.385813</v>
      </c>
      <c r="AQ4" s="24">
        <f t="shared" si="0"/>
        <v>0.426307</v>
      </c>
      <c r="AR4" s="25">
        <f>(AQ3-AQ4)/AQ3</f>
        <v>-0.140208887759605</v>
      </c>
      <c r="AS4" s="24">
        <f t="shared" si="1"/>
        <v>0.385813</v>
      </c>
      <c r="AT4" s="25">
        <f>(AS3-AS4)/AS3</f>
        <v>-0.0669046703851291</v>
      </c>
      <c r="AU4" s="9"/>
      <c r="AV4" s="28"/>
      <c r="AW4" s="28"/>
      <c r="AX4" s="28"/>
    </row>
    <row r="5" s="3" customFormat="1" customHeight="1" spans="1:50">
      <c r="A5" s="9"/>
      <c r="B5" s="9"/>
      <c r="C5" s="9"/>
      <c r="D5" s="9" t="s">
        <v>129</v>
      </c>
      <c r="E5" s="15"/>
      <c r="F5" s="9" t="s">
        <v>107</v>
      </c>
      <c r="G5" s="9" t="s">
        <v>131</v>
      </c>
      <c r="H5" s="9" t="s">
        <v>132</v>
      </c>
      <c r="I5" s="9">
        <v>0.55961</v>
      </c>
      <c r="J5" s="9">
        <v>0.54824</v>
      </c>
      <c r="K5" s="9">
        <v>0.537772</v>
      </c>
      <c r="L5" s="9">
        <v>0.516848</v>
      </c>
      <c r="M5" s="9">
        <v>0.54146</v>
      </c>
      <c r="N5" s="9">
        <v>0.542949</v>
      </c>
      <c r="O5" s="9">
        <v>0.505418</v>
      </c>
      <c r="P5" s="9">
        <v>0.498996</v>
      </c>
      <c r="Q5" s="9">
        <v>0.50878</v>
      </c>
      <c r="R5" s="9">
        <v>0.539918</v>
      </c>
      <c r="S5" s="9">
        <v>0.447473</v>
      </c>
      <c r="T5" s="9">
        <v>0.473328</v>
      </c>
      <c r="U5" s="9">
        <v>0.51032</v>
      </c>
      <c r="V5" s="9">
        <v>0.548157</v>
      </c>
      <c r="W5" s="9">
        <v>0.511863</v>
      </c>
      <c r="X5" s="9">
        <v>0.436405</v>
      </c>
      <c r="Y5" s="9">
        <v>0.443795</v>
      </c>
      <c r="Z5" s="9">
        <v>0.524797</v>
      </c>
      <c r="AA5" s="9">
        <v>0.554862</v>
      </c>
      <c r="AB5" s="9">
        <v>0.575343</v>
      </c>
      <c r="AC5" s="9">
        <v>0.551475</v>
      </c>
      <c r="AD5" s="9">
        <v>0.493146</v>
      </c>
      <c r="AE5" s="9">
        <v>0.524555</v>
      </c>
      <c r="AF5" s="9">
        <v>0.532759</v>
      </c>
      <c r="AG5" s="9">
        <v>0.502515</v>
      </c>
      <c r="AH5" s="9">
        <v>0.446025</v>
      </c>
      <c r="AI5" s="9">
        <v>0.541317</v>
      </c>
      <c r="AJ5" s="9">
        <v>0.601668</v>
      </c>
      <c r="AK5" s="9">
        <v>0.452069</v>
      </c>
      <c r="AL5" s="9">
        <v>0.470147</v>
      </c>
      <c r="AM5" s="9">
        <v>0.551539</v>
      </c>
      <c r="AN5" s="9">
        <v>0.616741</v>
      </c>
      <c r="AO5" s="9">
        <v>0.495575</v>
      </c>
      <c r="AP5" s="9">
        <v>0.371043</v>
      </c>
      <c r="AQ5" s="24">
        <f t="shared" si="0"/>
        <v>0.436405</v>
      </c>
      <c r="AR5" s="25">
        <f>(AQ3-AQ5)/AQ3</f>
        <v>-0.167217192452225</v>
      </c>
      <c r="AS5" s="24">
        <f t="shared" si="1"/>
        <v>0.371043</v>
      </c>
      <c r="AT5" s="25">
        <f>(AS3-AS5)/AS3</f>
        <v>-0.0260605775692095</v>
      </c>
      <c r="AU5" s="9"/>
      <c r="AV5" s="28"/>
      <c r="AW5" s="28"/>
      <c r="AX5" s="28"/>
    </row>
    <row r="6" s="3" customFormat="1" customHeight="1" spans="1:50">
      <c r="A6" s="9"/>
      <c r="B6" s="9"/>
      <c r="C6" s="9"/>
      <c r="D6" s="9" t="s">
        <v>129</v>
      </c>
      <c r="E6" s="15"/>
      <c r="F6" s="9" t="s">
        <v>133</v>
      </c>
      <c r="G6" s="9" t="s">
        <v>131</v>
      </c>
      <c r="H6" s="9" t="s">
        <v>132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26"/>
      <c r="AR6" s="27"/>
      <c r="AS6" s="26"/>
      <c r="AT6" s="27"/>
      <c r="AU6" s="9"/>
      <c r="AV6" s="28"/>
      <c r="AW6" s="28"/>
      <c r="AX6" s="28"/>
    </row>
    <row r="7" s="3" customFormat="1" customHeight="1" spans="1:50">
      <c r="A7" s="9"/>
      <c r="B7" s="9"/>
      <c r="C7" s="9"/>
      <c r="D7" s="9" t="s">
        <v>129</v>
      </c>
      <c r="E7" s="15"/>
      <c r="F7" s="9" t="s">
        <v>78</v>
      </c>
      <c r="G7" s="9" t="s">
        <v>134</v>
      </c>
      <c r="H7" s="9" t="s">
        <v>135</v>
      </c>
      <c r="I7" s="9">
        <v>0.570595</v>
      </c>
      <c r="J7" s="9">
        <v>0.530979</v>
      </c>
      <c r="K7" s="9">
        <v>0.55136</v>
      </c>
      <c r="L7" s="9">
        <v>0.587388</v>
      </c>
      <c r="M7" s="9">
        <v>0.548501</v>
      </c>
      <c r="N7" s="9">
        <v>0.541348</v>
      </c>
      <c r="O7" s="9">
        <v>0.536846</v>
      </c>
      <c r="P7" s="9">
        <v>0.597417</v>
      </c>
      <c r="Q7" s="9">
        <v>0.530729</v>
      </c>
      <c r="R7" s="9">
        <v>0.55373</v>
      </c>
      <c r="S7" s="9">
        <v>0.528261</v>
      </c>
      <c r="T7" s="9">
        <v>0.578192</v>
      </c>
      <c r="U7" s="9">
        <v>0.493583</v>
      </c>
      <c r="V7" s="9">
        <v>0.511232</v>
      </c>
      <c r="W7" s="9">
        <v>0.45151</v>
      </c>
      <c r="X7" s="9">
        <v>0.490952</v>
      </c>
      <c r="Y7" s="9">
        <v>0.459133</v>
      </c>
      <c r="Z7" s="9">
        <v>0.59453</v>
      </c>
      <c r="AA7" s="9">
        <v>0.58268</v>
      </c>
      <c r="AB7" s="9">
        <v>0.617748</v>
      </c>
      <c r="AC7" s="9">
        <v>0.610298</v>
      </c>
      <c r="AD7" s="9">
        <v>0.550244</v>
      </c>
      <c r="AE7" s="9">
        <v>0.601465</v>
      </c>
      <c r="AF7" s="9">
        <v>0.617664</v>
      </c>
      <c r="AG7" s="9">
        <v>0.607134</v>
      </c>
      <c r="AH7" s="9">
        <v>0.505373</v>
      </c>
      <c r="AI7" s="9">
        <v>0.591461</v>
      </c>
      <c r="AJ7" s="9">
        <v>0.614987</v>
      </c>
      <c r="AK7" s="9">
        <v>0.591631</v>
      </c>
      <c r="AL7" s="9">
        <v>0.4571</v>
      </c>
      <c r="AM7" s="9">
        <v>0.564483</v>
      </c>
      <c r="AN7" s="9">
        <v>0.587725</v>
      </c>
      <c r="AO7" s="9">
        <v>0.533304</v>
      </c>
      <c r="AP7" s="9">
        <v>0.367767</v>
      </c>
      <c r="AQ7" s="24">
        <f t="shared" si="0"/>
        <v>0.45151</v>
      </c>
      <c r="AR7" s="25"/>
      <c r="AS7" s="24">
        <f t="shared" si="1"/>
        <v>0.367767</v>
      </c>
      <c r="AT7" s="25"/>
      <c r="AU7" s="9"/>
      <c r="AV7" s="28"/>
      <c r="AW7" s="28"/>
      <c r="AX7" s="28"/>
    </row>
    <row r="8" s="3" customFormat="1" customHeight="1" spans="1:50">
      <c r="A8" s="9"/>
      <c r="B8" s="9"/>
      <c r="C8" s="9"/>
      <c r="D8" s="9" t="s">
        <v>129</v>
      </c>
      <c r="E8" s="15"/>
      <c r="F8" s="9" t="s">
        <v>92</v>
      </c>
      <c r="G8" s="9" t="s">
        <v>134</v>
      </c>
      <c r="H8" s="9" t="s">
        <v>135</v>
      </c>
      <c r="I8" s="9">
        <v>0.543037</v>
      </c>
      <c r="J8" s="9">
        <v>0.50543</v>
      </c>
      <c r="K8" s="9">
        <v>0.545479</v>
      </c>
      <c r="L8" s="9">
        <v>0.612101</v>
      </c>
      <c r="M8" s="9">
        <v>0.546934</v>
      </c>
      <c r="N8" s="9">
        <v>0.536734</v>
      </c>
      <c r="O8" s="9">
        <v>0.552194</v>
      </c>
      <c r="P8" s="9">
        <v>0.589524</v>
      </c>
      <c r="Q8" s="9">
        <v>0.516025</v>
      </c>
      <c r="R8" s="9">
        <v>0.518985</v>
      </c>
      <c r="S8" s="9">
        <v>0.489581</v>
      </c>
      <c r="T8" s="9">
        <v>0.559529</v>
      </c>
      <c r="U8" s="9">
        <v>0.460732</v>
      </c>
      <c r="V8" s="9">
        <v>0.508766</v>
      </c>
      <c r="W8" s="9">
        <v>0.501383</v>
      </c>
      <c r="X8" s="9">
        <v>0.428544</v>
      </c>
      <c r="Y8" s="9">
        <v>0.425761</v>
      </c>
      <c r="Z8" s="9">
        <v>0.575129</v>
      </c>
      <c r="AA8" s="9">
        <v>0.538913</v>
      </c>
      <c r="AB8" s="9">
        <v>0.60482</v>
      </c>
      <c r="AC8" s="9">
        <v>0.620406</v>
      </c>
      <c r="AD8" s="9">
        <v>0.572569</v>
      </c>
      <c r="AE8" s="9">
        <v>0.603092</v>
      </c>
      <c r="AF8" s="9">
        <v>0.618058</v>
      </c>
      <c r="AG8" s="9">
        <v>0.595032</v>
      </c>
      <c r="AH8" s="9">
        <v>0.514661</v>
      </c>
      <c r="AI8" s="9">
        <v>0.562841</v>
      </c>
      <c r="AJ8" s="9">
        <v>0.627276</v>
      </c>
      <c r="AK8" s="9">
        <v>0.608732</v>
      </c>
      <c r="AL8" s="9">
        <v>0.415611</v>
      </c>
      <c r="AM8" s="9">
        <v>0.54271</v>
      </c>
      <c r="AN8" s="9">
        <v>0.586589</v>
      </c>
      <c r="AO8" s="9">
        <v>0.488387</v>
      </c>
      <c r="AP8" s="9">
        <v>0.330672</v>
      </c>
      <c r="AQ8" s="24">
        <f t="shared" si="0"/>
        <v>0.425761</v>
      </c>
      <c r="AR8" s="25">
        <f>(AQ7-AQ8)/AQ7</f>
        <v>0.0570286372394853</v>
      </c>
      <c r="AS8" s="24">
        <f t="shared" si="1"/>
        <v>0.330672</v>
      </c>
      <c r="AT8" s="25">
        <f>(AS7-AS8)/AS7</f>
        <v>0.100865493641354</v>
      </c>
      <c r="AU8" s="9"/>
      <c r="AV8" s="28"/>
      <c r="AW8" s="28"/>
      <c r="AX8" s="28"/>
    </row>
    <row r="9" s="3" customFormat="1" customHeight="1" spans="1:50">
      <c r="A9" s="9"/>
      <c r="B9" s="9"/>
      <c r="C9" s="9"/>
      <c r="D9" s="9" t="s">
        <v>129</v>
      </c>
      <c r="E9" s="15"/>
      <c r="F9" s="9" t="s">
        <v>107</v>
      </c>
      <c r="G9" s="9" t="s">
        <v>134</v>
      </c>
      <c r="H9" s="9" t="s">
        <v>135</v>
      </c>
      <c r="I9" s="9">
        <v>0.535003</v>
      </c>
      <c r="J9" s="9">
        <v>0.516941</v>
      </c>
      <c r="K9" s="9">
        <v>0.530816</v>
      </c>
      <c r="L9" s="9">
        <v>0.578618</v>
      </c>
      <c r="M9" s="9">
        <v>0.547935</v>
      </c>
      <c r="N9" s="9">
        <v>0.547643</v>
      </c>
      <c r="O9" s="9">
        <v>0.512865</v>
      </c>
      <c r="P9" s="9">
        <v>0.564241</v>
      </c>
      <c r="Q9" s="9">
        <v>0.54028</v>
      </c>
      <c r="R9" s="9">
        <v>0.545366</v>
      </c>
      <c r="S9" s="9">
        <v>0.445857</v>
      </c>
      <c r="T9" s="9">
        <v>0.54095</v>
      </c>
      <c r="U9" s="9">
        <v>0.504081</v>
      </c>
      <c r="V9" s="9">
        <v>0.510494</v>
      </c>
      <c r="W9" s="9">
        <v>0.479525</v>
      </c>
      <c r="X9" s="9">
        <v>0.421813</v>
      </c>
      <c r="Y9" s="9">
        <v>0.483998</v>
      </c>
      <c r="Z9" s="9">
        <v>0.575499</v>
      </c>
      <c r="AA9" s="9">
        <v>0.554485</v>
      </c>
      <c r="AB9" s="9">
        <v>0.58253</v>
      </c>
      <c r="AC9" s="9">
        <v>0.574004</v>
      </c>
      <c r="AD9" s="9">
        <v>0.528022</v>
      </c>
      <c r="AE9" s="9">
        <v>0.589425</v>
      </c>
      <c r="AF9" s="9">
        <v>0.61406</v>
      </c>
      <c r="AG9" s="9">
        <v>0.567886</v>
      </c>
      <c r="AH9" s="9">
        <v>0.482681</v>
      </c>
      <c r="AI9" s="9">
        <v>0.577343</v>
      </c>
      <c r="AJ9" s="9">
        <v>0.61711</v>
      </c>
      <c r="AK9" s="9">
        <v>0.547667</v>
      </c>
      <c r="AL9" s="9">
        <v>0.428813</v>
      </c>
      <c r="AM9" s="9">
        <v>0.560153</v>
      </c>
      <c r="AN9" s="9">
        <v>0.597411</v>
      </c>
      <c r="AO9" s="9">
        <v>0.465382</v>
      </c>
      <c r="AP9" s="9">
        <v>0.363183</v>
      </c>
      <c r="AQ9" s="24">
        <f t="shared" si="0"/>
        <v>0.421813</v>
      </c>
      <c r="AR9" s="25">
        <f>(AQ7-AQ9)/AQ7</f>
        <v>0.0657726296206065</v>
      </c>
      <c r="AS9" s="24">
        <f t="shared" si="1"/>
        <v>0.363183</v>
      </c>
      <c r="AT9" s="25">
        <f>(AS7-AS9)/AS7</f>
        <v>0.0124644136097041</v>
      </c>
      <c r="AU9" s="9"/>
      <c r="AV9" s="28"/>
      <c r="AW9" s="28"/>
      <c r="AX9" s="28"/>
    </row>
    <row r="10" s="3" customFormat="1" customHeight="1" spans="1:50">
      <c r="A10" s="9"/>
      <c r="B10" s="9"/>
      <c r="C10" s="9"/>
      <c r="D10" s="9" t="s">
        <v>129</v>
      </c>
      <c r="E10" s="15"/>
      <c r="F10" s="9" t="s">
        <v>133</v>
      </c>
      <c r="G10" s="9" t="s">
        <v>134</v>
      </c>
      <c r="H10" s="9" t="s">
        <v>135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26"/>
      <c r="AR10" s="27"/>
      <c r="AS10" s="26"/>
      <c r="AT10" s="27"/>
      <c r="AU10" s="9"/>
      <c r="AV10" s="28"/>
      <c r="AW10" s="28"/>
      <c r="AX10" s="28"/>
    </row>
    <row r="11" s="3" customFormat="1" customHeight="1" spans="1:50">
      <c r="A11" s="9"/>
      <c r="B11" s="9"/>
      <c r="C11" s="9"/>
      <c r="D11" s="9" t="s">
        <v>129</v>
      </c>
      <c r="E11" s="15"/>
      <c r="F11" s="9" t="s">
        <v>78</v>
      </c>
      <c r="G11" s="9" t="s">
        <v>136</v>
      </c>
      <c r="H11" s="9" t="s">
        <v>137</v>
      </c>
      <c r="I11" s="9">
        <v>0.479448</v>
      </c>
      <c r="J11" s="9">
        <v>0.5087</v>
      </c>
      <c r="K11" s="9">
        <v>0.433744</v>
      </c>
      <c r="L11" s="9">
        <v>0.508918</v>
      </c>
      <c r="M11" s="9">
        <v>0.48479</v>
      </c>
      <c r="N11" s="9">
        <v>0.519279</v>
      </c>
      <c r="O11" s="9">
        <v>0.429787</v>
      </c>
      <c r="P11" s="9">
        <v>0.548779</v>
      </c>
      <c r="Q11" s="9">
        <v>0.49515</v>
      </c>
      <c r="R11" s="9">
        <v>0.499411</v>
      </c>
      <c r="S11" s="9">
        <v>0.473761</v>
      </c>
      <c r="T11" s="9">
        <v>0.510078</v>
      </c>
      <c r="U11" s="9">
        <v>0.478474</v>
      </c>
      <c r="V11" s="9">
        <v>0.47906</v>
      </c>
      <c r="W11" s="9">
        <v>0.432168</v>
      </c>
      <c r="X11" s="9">
        <v>0.527614</v>
      </c>
      <c r="Y11" s="9">
        <v>0.455555</v>
      </c>
      <c r="Z11" s="9">
        <v>0.523583</v>
      </c>
      <c r="AA11" s="9">
        <v>0.545867</v>
      </c>
      <c r="AB11" s="9">
        <v>0.57397</v>
      </c>
      <c r="AC11" s="9">
        <v>0.548608</v>
      </c>
      <c r="AD11" s="9">
        <v>0.517611</v>
      </c>
      <c r="AE11" s="9">
        <v>0.565202</v>
      </c>
      <c r="AF11" s="9">
        <v>0.585919</v>
      </c>
      <c r="AG11" s="9">
        <v>0.564616</v>
      </c>
      <c r="AH11" s="9">
        <v>0.471466</v>
      </c>
      <c r="AI11" s="9">
        <v>0.515083</v>
      </c>
      <c r="AJ11" s="9">
        <v>0.597237</v>
      </c>
      <c r="AK11" s="9">
        <v>0.498648</v>
      </c>
      <c r="AL11" s="9">
        <v>0.389014</v>
      </c>
      <c r="AM11" s="9">
        <v>0.486853</v>
      </c>
      <c r="AN11" s="9">
        <v>0.546887</v>
      </c>
      <c r="AO11" s="9">
        <v>0.50738</v>
      </c>
      <c r="AP11" s="9">
        <v>0.310578</v>
      </c>
      <c r="AQ11" s="24">
        <f t="shared" ref="AQ10:AQ13" si="2">MIN(I11:Y11)</f>
        <v>0.429787</v>
      </c>
      <c r="AR11" s="25"/>
      <c r="AS11" s="24">
        <f t="shared" ref="AS10:AS13" si="3">MIN(Z11:AP11)</f>
        <v>0.310578</v>
      </c>
      <c r="AT11" s="25"/>
      <c r="AU11" s="9"/>
      <c r="AV11" s="28"/>
      <c r="AW11" s="28"/>
      <c r="AX11" s="28"/>
    </row>
    <row r="12" s="3" customFormat="1" customHeight="1" spans="1:50">
      <c r="A12" s="9"/>
      <c r="B12" s="9"/>
      <c r="C12" s="9"/>
      <c r="D12" s="9" t="s">
        <v>129</v>
      </c>
      <c r="E12" s="15"/>
      <c r="F12" s="9" t="s">
        <v>92</v>
      </c>
      <c r="G12" s="9" t="s">
        <v>136</v>
      </c>
      <c r="H12" s="9" t="s">
        <v>137</v>
      </c>
      <c r="I12" s="9">
        <v>0.529692</v>
      </c>
      <c r="J12" s="9">
        <v>0.523109</v>
      </c>
      <c r="K12" s="9">
        <v>0.512874</v>
      </c>
      <c r="L12" s="9">
        <v>0.551588</v>
      </c>
      <c r="M12" s="9">
        <v>0.557295</v>
      </c>
      <c r="N12" s="9">
        <v>0.532262</v>
      </c>
      <c r="O12" s="9">
        <v>0.515111</v>
      </c>
      <c r="P12" s="9">
        <v>0.576441</v>
      </c>
      <c r="Q12" s="9">
        <v>0.506066</v>
      </c>
      <c r="R12" s="9">
        <v>0.543074</v>
      </c>
      <c r="S12" s="9">
        <v>0.494439</v>
      </c>
      <c r="T12" s="9">
        <v>0.514974</v>
      </c>
      <c r="U12" s="9">
        <v>0.479057</v>
      </c>
      <c r="V12" s="9">
        <v>0.476941</v>
      </c>
      <c r="W12" s="9">
        <v>0.499395</v>
      </c>
      <c r="X12" s="9">
        <v>0.464299</v>
      </c>
      <c r="Y12" s="9">
        <v>0.458919</v>
      </c>
      <c r="Z12" s="9">
        <v>0.535572</v>
      </c>
      <c r="AA12" s="9">
        <v>0.546791</v>
      </c>
      <c r="AB12" s="9">
        <v>0.566786</v>
      </c>
      <c r="AC12" s="9">
        <v>0.548271</v>
      </c>
      <c r="AD12" s="9">
        <v>0.535981</v>
      </c>
      <c r="AE12" s="9">
        <v>0.580639</v>
      </c>
      <c r="AF12" s="9">
        <v>0.599691</v>
      </c>
      <c r="AG12" s="9">
        <v>0.562586</v>
      </c>
      <c r="AH12" s="9">
        <v>0.490666</v>
      </c>
      <c r="AI12" s="9">
        <v>0.53108</v>
      </c>
      <c r="AJ12" s="9">
        <v>0.620349</v>
      </c>
      <c r="AK12" s="9">
        <v>0.533928</v>
      </c>
      <c r="AL12" s="9">
        <v>0.389103</v>
      </c>
      <c r="AM12" s="9">
        <v>0.487298</v>
      </c>
      <c r="AN12" s="9">
        <v>0.527093</v>
      </c>
      <c r="AO12" s="9">
        <v>0.479517</v>
      </c>
      <c r="AP12" s="9">
        <v>0.29749</v>
      </c>
      <c r="AQ12" s="24">
        <f t="shared" si="2"/>
        <v>0.458919</v>
      </c>
      <c r="AR12" s="25">
        <f>(AQ11-AQ12)/AQ11</f>
        <v>-0.067782413148839</v>
      </c>
      <c r="AS12" s="24">
        <f t="shared" si="3"/>
        <v>0.29749</v>
      </c>
      <c r="AT12" s="25">
        <f>(AS11-AS12)/AS11</f>
        <v>0.0421407826697321</v>
      </c>
      <c r="AU12" s="9"/>
      <c r="AV12" s="28"/>
      <c r="AW12" s="28"/>
      <c r="AX12" s="28"/>
    </row>
    <row r="13" s="3" customFormat="1" customHeight="1" spans="1:50">
      <c r="A13" s="9"/>
      <c r="B13" s="9"/>
      <c r="C13" s="9"/>
      <c r="D13" s="9" t="s">
        <v>129</v>
      </c>
      <c r="E13" s="15"/>
      <c r="F13" s="9" t="s">
        <v>107</v>
      </c>
      <c r="G13" s="9" t="s">
        <v>136</v>
      </c>
      <c r="H13" s="9" t="s">
        <v>137</v>
      </c>
      <c r="I13" s="9">
        <v>0.47607</v>
      </c>
      <c r="J13" s="9">
        <v>0.510112</v>
      </c>
      <c r="K13" s="9">
        <v>0.441842</v>
      </c>
      <c r="L13" s="9">
        <v>0.477795</v>
      </c>
      <c r="M13" s="9">
        <v>0.53426</v>
      </c>
      <c r="N13" s="9">
        <v>0.526428</v>
      </c>
      <c r="O13" s="9">
        <v>0.43977</v>
      </c>
      <c r="P13" s="9">
        <v>0.498589</v>
      </c>
      <c r="Q13" s="9">
        <v>0.503223</v>
      </c>
      <c r="R13" s="9">
        <v>0.53309</v>
      </c>
      <c r="S13" s="9">
        <v>0.446234</v>
      </c>
      <c r="T13" s="9">
        <v>0.472927</v>
      </c>
      <c r="U13" s="9">
        <v>0.474083</v>
      </c>
      <c r="V13" s="9">
        <v>0.489072</v>
      </c>
      <c r="W13" s="9">
        <v>0.446477</v>
      </c>
      <c r="X13" s="9">
        <v>0.466482</v>
      </c>
      <c r="Y13" s="9">
        <v>0.465337</v>
      </c>
      <c r="Z13" s="9">
        <v>0.539731</v>
      </c>
      <c r="AA13" s="9">
        <v>0.567421</v>
      </c>
      <c r="AB13" s="9">
        <v>0.569925</v>
      </c>
      <c r="AC13" s="9">
        <v>0.563405</v>
      </c>
      <c r="AD13" s="9">
        <v>0.557207</v>
      </c>
      <c r="AE13" s="9">
        <v>0.600749</v>
      </c>
      <c r="AF13" s="9">
        <v>0.615168</v>
      </c>
      <c r="AG13" s="9">
        <v>0.588177</v>
      </c>
      <c r="AH13" s="9">
        <v>0.510235</v>
      </c>
      <c r="AI13" s="9">
        <v>0.551984</v>
      </c>
      <c r="AJ13" s="9">
        <v>0.633547</v>
      </c>
      <c r="AK13" s="9">
        <v>0.547844</v>
      </c>
      <c r="AL13" s="9">
        <v>0.420709</v>
      </c>
      <c r="AM13" s="9">
        <v>0.51058</v>
      </c>
      <c r="AN13" s="9">
        <v>0.576206</v>
      </c>
      <c r="AO13" s="9">
        <v>0.495532</v>
      </c>
      <c r="AP13" s="9">
        <v>0.352456</v>
      </c>
      <c r="AQ13" s="24">
        <f t="shared" si="2"/>
        <v>0.43977</v>
      </c>
      <c r="AR13" s="25">
        <f>(AQ11-AQ13)/AQ11</f>
        <v>-0.0232277849260215</v>
      </c>
      <c r="AS13" s="24">
        <f t="shared" si="3"/>
        <v>0.352456</v>
      </c>
      <c r="AT13" s="25">
        <f>(AS11-AS13)/AS11</f>
        <v>-0.134838913252065</v>
      </c>
      <c r="AU13" s="9"/>
      <c r="AV13" s="28"/>
      <c r="AW13" s="28"/>
      <c r="AX13" s="28"/>
    </row>
    <row r="14" s="3" customFormat="1" customHeight="1" spans="1:50">
      <c r="A14" s="9"/>
      <c r="B14" s="9"/>
      <c r="C14" s="9"/>
      <c r="D14" s="9" t="s">
        <v>129</v>
      </c>
      <c r="E14" s="15"/>
      <c r="F14" s="9" t="s">
        <v>133</v>
      </c>
      <c r="G14" s="9" t="s">
        <v>136</v>
      </c>
      <c r="H14" s="9" t="s">
        <v>137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24"/>
      <c r="AR14" s="25"/>
      <c r="AS14" s="24"/>
      <c r="AT14" s="25"/>
      <c r="AU14" s="9"/>
      <c r="AV14" s="28"/>
      <c r="AW14" s="28"/>
      <c r="AX14" s="28"/>
    </row>
    <row r="15" s="3" customFormat="1" customHeight="1" spans="1:50">
      <c r="A15" s="10"/>
      <c r="B15" s="9"/>
      <c r="C15" s="9"/>
      <c r="D15" s="9" t="s">
        <v>129</v>
      </c>
      <c r="E15" s="15" t="s">
        <v>241</v>
      </c>
      <c r="F15" s="9" t="s">
        <v>78</v>
      </c>
      <c r="G15" s="9" t="s">
        <v>131</v>
      </c>
      <c r="H15" s="9" t="s">
        <v>139</v>
      </c>
      <c r="I15" s="9">
        <v>0.455418</v>
      </c>
      <c r="J15" s="9">
        <v>0.482109</v>
      </c>
      <c r="K15" s="9">
        <v>0.524576</v>
      </c>
      <c r="L15" s="9">
        <v>0.568704</v>
      </c>
      <c r="M15" s="9">
        <v>0.445525</v>
      </c>
      <c r="N15" s="9">
        <v>0.4748</v>
      </c>
      <c r="O15" s="9">
        <v>0.527612</v>
      </c>
      <c r="P15" s="9">
        <v>0.538717</v>
      </c>
      <c r="Q15" s="9">
        <v>0.428484</v>
      </c>
      <c r="R15" s="9">
        <v>0.458135</v>
      </c>
      <c r="S15" s="9">
        <v>0.553306</v>
      </c>
      <c r="T15" s="9">
        <v>0.541449</v>
      </c>
      <c r="U15" s="9">
        <v>0.390129</v>
      </c>
      <c r="V15" s="9">
        <v>0.447181</v>
      </c>
      <c r="W15" s="9">
        <v>0.508023</v>
      </c>
      <c r="X15" s="9">
        <v>0.442059</v>
      </c>
      <c r="Y15" s="9">
        <v>0.340653</v>
      </c>
      <c r="Z15" s="9">
        <v>0.556605</v>
      </c>
      <c r="AA15" s="9">
        <v>0.551771</v>
      </c>
      <c r="AB15" s="9">
        <v>0.604025</v>
      </c>
      <c r="AC15" s="9">
        <v>0.588948</v>
      </c>
      <c r="AD15" s="9">
        <v>0.547503</v>
      </c>
      <c r="AE15" s="9">
        <v>0.584888</v>
      </c>
      <c r="AF15" s="9">
        <v>0.614587</v>
      </c>
      <c r="AG15" s="9">
        <v>0.567143</v>
      </c>
      <c r="AH15" s="9">
        <v>0.516422</v>
      </c>
      <c r="AI15" s="9">
        <v>0.549633</v>
      </c>
      <c r="AJ15" s="9">
        <v>0.595057</v>
      </c>
      <c r="AK15" s="9">
        <v>0.560423</v>
      </c>
      <c r="AL15" s="9">
        <v>0.505546</v>
      </c>
      <c r="AM15" s="9">
        <v>0.534515</v>
      </c>
      <c r="AN15" s="9">
        <v>0.599931</v>
      </c>
      <c r="AO15" s="9">
        <v>0.447966</v>
      </c>
      <c r="AP15" s="9">
        <v>0.448027</v>
      </c>
      <c r="AQ15" s="24">
        <f t="shared" ref="AQ15:AQ33" si="4">MIN(I15:Y15)</f>
        <v>0.340653</v>
      </c>
      <c r="AR15" s="25"/>
      <c r="AS15" s="24">
        <f t="shared" ref="AS15:AS33" si="5">MIN(Z15:AP15)</f>
        <v>0.447966</v>
      </c>
      <c r="AT15" s="25"/>
      <c r="AU15" s="25"/>
      <c r="AV15" s="28"/>
      <c r="AW15" s="28"/>
      <c r="AX15" s="28"/>
    </row>
    <row r="16" s="3" customFormat="1" customHeight="1" spans="1:50">
      <c r="A16" s="10"/>
      <c r="B16" s="9"/>
      <c r="C16" s="9"/>
      <c r="D16" s="9" t="s">
        <v>129</v>
      </c>
      <c r="E16" s="15"/>
      <c r="F16" s="9" t="s">
        <v>141</v>
      </c>
      <c r="G16" s="9" t="s">
        <v>131</v>
      </c>
      <c r="H16" s="9" t="s">
        <v>139</v>
      </c>
      <c r="I16" s="9">
        <v>0.47677</v>
      </c>
      <c r="J16" s="9">
        <v>0.484433</v>
      </c>
      <c r="K16" s="9">
        <v>0.511085</v>
      </c>
      <c r="L16" s="9">
        <v>0.555359</v>
      </c>
      <c r="M16" s="9">
        <v>0.497586</v>
      </c>
      <c r="N16" s="9">
        <v>0.496218</v>
      </c>
      <c r="O16" s="9">
        <v>0.515291</v>
      </c>
      <c r="P16" s="9">
        <v>0.525472</v>
      </c>
      <c r="Q16" s="9">
        <v>0.422475</v>
      </c>
      <c r="R16" s="9">
        <v>0.457643</v>
      </c>
      <c r="S16" s="9">
        <v>0.520235</v>
      </c>
      <c r="T16" s="9">
        <v>0.494311</v>
      </c>
      <c r="U16" s="9">
        <v>0.364917</v>
      </c>
      <c r="V16" s="9">
        <v>0.436521</v>
      </c>
      <c r="W16" s="9">
        <v>0.523281</v>
      </c>
      <c r="X16" s="9">
        <v>0.410388</v>
      </c>
      <c r="Y16" s="9">
        <v>0.332985</v>
      </c>
      <c r="Z16" s="9">
        <v>0.568786</v>
      </c>
      <c r="AA16" s="9">
        <v>0.555085</v>
      </c>
      <c r="AB16" s="9">
        <v>0.613537</v>
      </c>
      <c r="AC16" s="9">
        <v>0.586207</v>
      </c>
      <c r="AD16" s="9">
        <v>0.585001</v>
      </c>
      <c r="AE16" s="9">
        <v>0.597081</v>
      </c>
      <c r="AF16" s="9">
        <v>0.605513</v>
      </c>
      <c r="AG16" s="9">
        <v>0.56184</v>
      </c>
      <c r="AH16" s="9">
        <v>0.53005</v>
      </c>
      <c r="AI16" s="9">
        <v>0.546098</v>
      </c>
      <c r="AJ16" s="9">
        <v>0.612869</v>
      </c>
      <c r="AK16" s="9">
        <v>0.528402</v>
      </c>
      <c r="AL16" s="9">
        <v>0.492995</v>
      </c>
      <c r="AM16" s="9">
        <v>0.545195</v>
      </c>
      <c r="AN16" s="9">
        <v>0.593024</v>
      </c>
      <c r="AO16" s="9">
        <v>0.443686</v>
      </c>
      <c r="AP16" s="9">
        <v>0.447537</v>
      </c>
      <c r="AQ16" s="24">
        <f t="shared" si="4"/>
        <v>0.332985</v>
      </c>
      <c r="AR16" s="25">
        <f>(AQ15-AQ16)/AQ15</f>
        <v>0.0225097092936214</v>
      </c>
      <c r="AS16" s="24">
        <f t="shared" si="5"/>
        <v>0.443686</v>
      </c>
      <c r="AT16" s="25">
        <f>(AS15-AS16)/AS15</f>
        <v>0.00955429653143308</v>
      </c>
      <c r="AU16" s="25"/>
      <c r="AV16" s="28"/>
      <c r="AW16" s="28"/>
      <c r="AX16" s="28"/>
    </row>
    <row r="17" s="3" customFormat="1" customHeight="1" spans="1:50">
      <c r="A17" s="10"/>
      <c r="B17" s="9"/>
      <c r="C17" s="9"/>
      <c r="D17" s="9" t="s">
        <v>129</v>
      </c>
      <c r="E17" s="15"/>
      <c r="F17" s="9" t="s">
        <v>142</v>
      </c>
      <c r="G17" s="9" t="s">
        <v>131</v>
      </c>
      <c r="H17" s="9" t="s">
        <v>139</v>
      </c>
      <c r="I17" s="9">
        <v>0.376606</v>
      </c>
      <c r="J17" s="9">
        <v>0.409402</v>
      </c>
      <c r="K17" s="9">
        <v>0.434279</v>
      </c>
      <c r="L17" s="9">
        <v>0.508717</v>
      </c>
      <c r="M17" s="9">
        <v>0.372246</v>
      </c>
      <c r="N17" s="9">
        <v>0.424141</v>
      </c>
      <c r="O17" s="9">
        <v>0.442071</v>
      </c>
      <c r="P17" s="9">
        <v>0.451918</v>
      </c>
      <c r="Q17" s="9">
        <v>0.38545</v>
      </c>
      <c r="R17" s="9">
        <v>0.417522</v>
      </c>
      <c r="S17" s="9">
        <v>0.468782</v>
      </c>
      <c r="T17" s="9">
        <v>0.409688</v>
      </c>
      <c r="U17" s="9">
        <v>0.367939</v>
      </c>
      <c r="V17" s="9">
        <v>0.393987</v>
      </c>
      <c r="W17" s="9">
        <v>0.43402</v>
      </c>
      <c r="X17" s="9">
        <v>0.33246</v>
      </c>
      <c r="Y17" s="9">
        <v>0.287547</v>
      </c>
      <c r="Z17" s="9">
        <v>0.498085</v>
      </c>
      <c r="AA17" s="9">
        <v>0.484701</v>
      </c>
      <c r="AB17" s="9">
        <v>0.548633</v>
      </c>
      <c r="AC17" s="9">
        <v>0.518424</v>
      </c>
      <c r="AD17" s="9">
        <v>0.488429</v>
      </c>
      <c r="AE17" s="9">
        <v>0.524803</v>
      </c>
      <c r="AF17" s="9">
        <v>0.554952</v>
      </c>
      <c r="AG17" s="9">
        <v>0.496756</v>
      </c>
      <c r="AH17" s="9">
        <v>0.465542</v>
      </c>
      <c r="AI17" s="9">
        <v>0.502052</v>
      </c>
      <c r="AJ17" s="9">
        <v>0.554023</v>
      </c>
      <c r="AK17" s="9">
        <v>0.512772</v>
      </c>
      <c r="AL17" s="9">
        <v>0.473948</v>
      </c>
      <c r="AM17" s="9">
        <v>0.474688</v>
      </c>
      <c r="AN17" s="9">
        <v>0.571549</v>
      </c>
      <c r="AO17" s="9">
        <v>0.367101</v>
      </c>
      <c r="AP17" s="9">
        <v>0.397524</v>
      </c>
      <c r="AQ17" s="24">
        <f t="shared" si="4"/>
        <v>0.287547</v>
      </c>
      <c r="AR17" s="25">
        <f>(AQ15-AQ17)/AQ15</f>
        <v>0.155894708104728</v>
      </c>
      <c r="AS17" s="24">
        <f t="shared" si="5"/>
        <v>0.367101</v>
      </c>
      <c r="AT17" s="25">
        <f>(AS15-AS17)/AS15</f>
        <v>0.180515932012697</v>
      </c>
      <c r="AU17" s="25"/>
      <c r="AV17" s="28"/>
      <c r="AW17" s="28"/>
      <c r="AX17" s="28"/>
    </row>
    <row r="18" s="3" customFormat="1" customHeight="1" spans="1:50">
      <c r="A18" s="10"/>
      <c r="B18" s="9"/>
      <c r="C18" s="9"/>
      <c r="D18" s="9" t="s">
        <v>129</v>
      </c>
      <c r="E18" s="15"/>
      <c r="F18" s="9" t="s">
        <v>143</v>
      </c>
      <c r="G18" s="9" t="s">
        <v>131</v>
      </c>
      <c r="H18" s="9" t="s">
        <v>139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26"/>
      <c r="AR18" s="27"/>
      <c r="AS18" s="26"/>
      <c r="AT18" s="27"/>
      <c r="AU18" s="25"/>
      <c r="AV18" s="28"/>
      <c r="AW18" s="28"/>
      <c r="AX18" s="28"/>
    </row>
    <row r="19" s="3" customFormat="1" customHeight="1" spans="1:50">
      <c r="A19" s="10"/>
      <c r="B19" s="9"/>
      <c r="C19" s="9"/>
      <c r="D19" s="9" t="s">
        <v>129</v>
      </c>
      <c r="E19" s="15"/>
      <c r="F19" s="9" t="s">
        <v>78</v>
      </c>
      <c r="G19" s="9" t="s">
        <v>134</v>
      </c>
      <c r="H19" s="9" t="s">
        <v>144</v>
      </c>
      <c r="I19" s="9">
        <v>0.509574</v>
      </c>
      <c r="J19" s="9">
        <v>0.526057</v>
      </c>
      <c r="K19" s="9">
        <v>0.507823</v>
      </c>
      <c r="L19" s="9">
        <v>0.544392</v>
      </c>
      <c r="M19" s="9">
        <v>0.462814</v>
      </c>
      <c r="N19" s="9">
        <v>0.452242</v>
      </c>
      <c r="O19" s="9">
        <v>0.526334</v>
      </c>
      <c r="P19" s="9">
        <v>0.546228</v>
      </c>
      <c r="Q19" s="9">
        <v>0.439558</v>
      </c>
      <c r="R19" s="9">
        <v>0.42562</v>
      </c>
      <c r="S19" s="9">
        <v>0.51661</v>
      </c>
      <c r="T19" s="9">
        <v>0.551489</v>
      </c>
      <c r="U19" s="9">
        <v>0.398008</v>
      </c>
      <c r="V19" s="9">
        <v>0.43121</v>
      </c>
      <c r="W19" s="9">
        <v>0.456102</v>
      </c>
      <c r="X19" s="9">
        <v>0.502022</v>
      </c>
      <c r="Y19" s="9">
        <v>0.317664</v>
      </c>
      <c r="Z19" s="9">
        <v>0.559027</v>
      </c>
      <c r="AA19" s="9">
        <v>0.554454</v>
      </c>
      <c r="AB19" s="9">
        <v>0.58003</v>
      </c>
      <c r="AC19" s="9">
        <v>0.590172</v>
      </c>
      <c r="AD19" s="9">
        <v>0.498371</v>
      </c>
      <c r="AE19" s="9">
        <v>0.534941</v>
      </c>
      <c r="AF19" s="9">
        <v>0.606191</v>
      </c>
      <c r="AG19" s="9">
        <v>0.571172</v>
      </c>
      <c r="AH19" s="9">
        <v>0.459116</v>
      </c>
      <c r="AI19" s="9">
        <v>0.516582</v>
      </c>
      <c r="AJ19" s="9">
        <v>0.624338</v>
      </c>
      <c r="AK19" s="9">
        <v>0.569004</v>
      </c>
      <c r="AL19" s="9">
        <v>0.405093</v>
      </c>
      <c r="AM19" s="9">
        <v>0.540247</v>
      </c>
      <c r="AN19" s="9">
        <v>0.612728</v>
      </c>
      <c r="AO19" s="9">
        <v>0.535524</v>
      </c>
      <c r="AP19" s="9">
        <v>0.349584</v>
      </c>
      <c r="AQ19" s="24">
        <f t="shared" si="4"/>
        <v>0.317664</v>
      </c>
      <c r="AR19" s="25"/>
      <c r="AS19" s="24">
        <f t="shared" si="5"/>
        <v>0.349584</v>
      </c>
      <c r="AT19" s="25"/>
      <c r="AU19" s="25"/>
      <c r="AV19" s="28"/>
      <c r="AW19" s="28"/>
      <c r="AX19" s="28"/>
    </row>
    <row r="20" s="3" customFormat="1" customHeight="1" spans="1:50">
      <c r="A20" s="10"/>
      <c r="B20" s="9"/>
      <c r="C20" s="9"/>
      <c r="D20" s="9" t="s">
        <v>129</v>
      </c>
      <c r="E20" s="15"/>
      <c r="F20" s="9" t="s">
        <v>141</v>
      </c>
      <c r="G20" s="9" t="s">
        <v>134</v>
      </c>
      <c r="H20" s="9" t="s">
        <v>144</v>
      </c>
      <c r="I20" s="9">
        <v>0.495894</v>
      </c>
      <c r="J20" s="9">
        <v>0.499651</v>
      </c>
      <c r="K20" s="9">
        <v>0.487811</v>
      </c>
      <c r="L20" s="9">
        <v>0.526078</v>
      </c>
      <c r="M20" s="9">
        <v>0.442383</v>
      </c>
      <c r="N20" s="9">
        <v>0.463146</v>
      </c>
      <c r="O20" s="9">
        <v>0.486649</v>
      </c>
      <c r="P20" s="9">
        <v>0.517255</v>
      </c>
      <c r="Q20" s="9">
        <v>0.42923</v>
      </c>
      <c r="R20" s="9">
        <v>0.426718</v>
      </c>
      <c r="S20" s="9">
        <v>0.460538</v>
      </c>
      <c r="T20" s="9">
        <v>0.504906</v>
      </c>
      <c r="U20" s="9">
        <v>0.406572</v>
      </c>
      <c r="V20" s="9">
        <v>0.427652</v>
      </c>
      <c r="W20" s="9">
        <v>0.496314</v>
      </c>
      <c r="X20" s="9">
        <v>0.461089</v>
      </c>
      <c r="Y20" s="9">
        <v>0.324907</v>
      </c>
      <c r="Z20" s="9">
        <v>0.550191</v>
      </c>
      <c r="AA20" s="9">
        <v>0.517715</v>
      </c>
      <c r="AB20" s="9">
        <v>0.544678</v>
      </c>
      <c r="AC20" s="9">
        <v>0.569832</v>
      </c>
      <c r="AD20" s="9">
        <v>0.471631</v>
      </c>
      <c r="AE20" s="9">
        <v>0.526747</v>
      </c>
      <c r="AF20" s="9">
        <v>0.561596</v>
      </c>
      <c r="AG20" s="9">
        <v>0.551137</v>
      </c>
      <c r="AH20" s="9">
        <v>0.430479</v>
      </c>
      <c r="AI20" s="9">
        <v>0.509969</v>
      </c>
      <c r="AJ20" s="9">
        <v>0.634636</v>
      </c>
      <c r="AK20" s="9">
        <v>0.556537</v>
      </c>
      <c r="AL20" s="9">
        <v>0.385983</v>
      </c>
      <c r="AM20" s="9">
        <v>0.534257</v>
      </c>
      <c r="AN20" s="9">
        <v>0.611006</v>
      </c>
      <c r="AO20" s="9">
        <v>0.490847</v>
      </c>
      <c r="AP20" s="9">
        <v>0.356215</v>
      </c>
      <c r="AQ20" s="24">
        <f t="shared" si="4"/>
        <v>0.324907</v>
      </c>
      <c r="AR20" s="25">
        <f>(AQ19-AQ20)/AQ19</f>
        <v>-0.0228008209932507</v>
      </c>
      <c r="AS20" s="24">
        <f t="shared" si="5"/>
        <v>0.356215</v>
      </c>
      <c r="AT20" s="25">
        <f>(AS19-AS20)/AS19</f>
        <v>-0.0189682594169069</v>
      </c>
      <c r="AU20" s="25"/>
      <c r="AV20" s="28"/>
      <c r="AW20" s="28"/>
      <c r="AX20" s="28"/>
    </row>
    <row r="21" s="3" customFormat="1" customHeight="1" spans="1:50">
      <c r="A21" s="10"/>
      <c r="B21" s="9"/>
      <c r="C21" s="9"/>
      <c r="D21" s="9" t="s">
        <v>129</v>
      </c>
      <c r="E21" s="15"/>
      <c r="F21" s="9" t="s">
        <v>142</v>
      </c>
      <c r="G21" s="9" t="s">
        <v>134</v>
      </c>
      <c r="H21" s="9" t="s">
        <v>144</v>
      </c>
      <c r="I21" s="9">
        <v>0.454533</v>
      </c>
      <c r="J21" s="9">
        <v>0.451758</v>
      </c>
      <c r="K21" s="9">
        <v>0.448356</v>
      </c>
      <c r="L21" s="9">
        <v>0.489872</v>
      </c>
      <c r="M21" s="9">
        <v>0.384438</v>
      </c>
      <c r="N21" s="9">
        <v>0.426831</v>
      </c>
      <c r="O21" s="9">
        <v>0.420967</v>
      </c>
      <c r="P21" s="9">
        <v>0.468182</v>
      </c>
      <c r="Q21" s="9">
        <v>0.385108</v>
      </c>
      <c r="R21" s="9">
        <v>0.37585</v>
      </c>
      <c r="S21" s="9">
        <v>0.42722</v>
      </c>
      <c r="T21" s="9">
        <v>0.448794</v>
      </c>
      <c r="U21" s="9">
        <v>0.387364</v>
      </c>
      <c r="V21" s="9">
        <v>0.420698</v>
      </c>
      <c r="W21" s="9">
        <v>0.489323</v>
      </c>
      <c r="X21" s="9">
        <v>0.439683</v>
      </c>
      <c r="Y21" s="9">
        <v>0.308485</v>
      </c>
      <c r="Z21" s="9">
        <v>0.527749</v>
      </c>
      <c r="AA21" s="9">
        <v>0.495785</v>
      </c>
      <c r="AB21" s="9">
        <v>0.524418</v>
      </c>
      <c r="AC21" s="9">
        <v>0.541877</v>
      </c>
      <c r="AD21" s="9">
        <v>0.380278</v>
      </c>
      <c r="AE21" s="9">
        <v>0.507429</v>
      </c>
      <c r="AF21" s="9">
        <v>0.536378</v>
      </c>
      <c r="AG21" s="9">
        <v>0.508249</v>
      </c>
      <c r="AH21" s="9">
        <v>0.37366</v>
      </c>
      <c r="AI21" s="9">
        <v>0.477611</v>
      </c>
      <c r="AJ21" s="9">
        <v>0.613616</v>
      </c>
      <c r="AK21" s="9">
        <v>0.538283</v>
      </c>
      <c r="AL21" s="9">
        <v>0.362648</v>
      </c>
      <c r="AM21" s="9">
        <v>0.503916</v>
      </c>
      <c r="AN21" s="9">
        <v>0.586816</v>
      </c>
      <c r="AO21" s="9">
        <v>0.465645</v>
      </c>
      <c r="AP21" s="9">
        <v>0.305213</v>
      </c>
      <c r="AQ21" s="24">
        <f t="shared" si="4"/>
        <v>0.308485</v>
      </c>
      <c r="AR21" s="25">
        <f>(AQ19-AQ21)/AQ19</f>
        <v>0.0288953107686108</v>
      </c>
      <c r="AS21" s="24">
        <f t="shared" si="5"/>
        <v>0.305213</v>
      </c>
      <c r="AT21" s="25">
        <f>(AS19-AS21)/AS19</f>
        <v>0.126925145315575</v>
      </c>
      <c r="AU21" s="25"/>
      <c r="AV21" s="28"/>
      <c r="AW21" s="28"/>
      <c r="AX21" s="28"/>
    </row>
    <row r="22" s="3" customFormat="1" customHeight="1" spans="1:50">
      <c r="A22" s="10"/>
      <c r="B22" s="9"/>
      <c r="C22" s="9"/>
      <c r="D22" s="9" t="s">
        <v>129</v>
      </c>
      <c r="E22" s="15"/>
      <c r="F22" s="9" t="s">
        <v>143</v>
      </c>
      <c r="G22" s="9" t="s">
        <v>134</v>
      </c>
      <c r="H22" s="9" t="s">
        <v>144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26"/>
      <c r="AR22" s="27"/>
      <c r="AS22" s="26"/>
      <c r="AT22" s="25"/>
      <c r="AU22" s="25"/>
      <c r="AV22" s="28"/>
      <c r="AW22" s="28"/>
      <c r="AX22" s="28"/>
    </row>
    <row r="23" s="3" customFormat="1" customHeight="1" spans="1:50">
      <c r="A23" s="10"/>
      <c r="B23" s="9"/>
      <c r="C23" s="9"/>
      <c r="D23" s="9" t="s">
        <v>129</v>
      </c>
      <c r="E23" s="15"/>
      <c r="F23" s="9" t="s">
        <v>78</v>
      </c>
      <c r="G23" s="9" t="s">
        <v>136</v>
      </c>
      <c r="H23" s="9" t="s">
        <v>145</v>
      </c>
      <c r="I23" s="9">
        <v>0.539231</v>
      </c>
      <c r="J23" s="9">
        <v>0.508647</v>
      </c>
      <c r="K23" s="9">
        <v>0.497144</v>
      </c>
      <c r="L23" s="9">
        <v>0.563339</v>
      </c>
      <c r="M23" s="9">
        <v>0.523141</v>
      </c>
      <c r="N23" s="9">
        <v>0.538889</v>
      </c>
      <c r="O23" s="9">
        <v>0.521952</v>
      </c>
      <c r="P23" s="9">
        <v>0.562231</v>
      </c>
      <c r="Q23" s="9">
        <v>0.505821</v>
      </c>
      <c r="R23" s="9">
        <v>0.52323</v>
      </c>
      <c r="S23" s="9">
        <v>0.553118</v>
      </c>
      <c r="T23" s="9">
        <v>0.527004</v>
      </c>
      <c r="U23" s="9">
        <v>0.479083</v>
      </c>
      <c r="V23" s="9">
        <v>0.509387</v>
      </c>
      <c r="W23" s="9">
        <v>0.513638</v>
      </c>
      <c r="X23" s="9">
        <v>0.443866</v>
      </c>
      <c r="Y23" s="9">
        <v>0.439787</v>
      </c>
      <c r="Z23" s="9">
        <v>0.594929</v>
      </c>
      <c r="AA23" s="9">
        <v>0.610937</v>
      </c>
      <c r="AB23" s="9">
        <v>0.622599</v>
      </c>
      <c r="AC23" s="9">
        <v>0.608315</v>
      </c>
      <c r="AD23" s="9">
        <v>0.577813</v>
      </c>
      <c r="AE23" s="9">
        <v>0.630899</v>
      </c>
      <c r="AF23" s="9">
        <v>0.638773</v>
      </c>
      <c r="AG23" s="9">
        <v>0.614312</v>
      </c>
      <c r="AH23" s="9">
        <v>0.547275</v>
      </c>
      <c r="AI23" s="9">
        <v>0.608437</v>
      </c>
      <c r="AJ23" s="9">
        <v>0.642649</v>
      </c>
      <c r="AK23" s="9">
        <v>0.566562</v>
      </c>
      <c r="AL23" s="9">
        <v>0.522884</v>
      </c>
      <c r="AM23" s="9">
        <v>0.569773</v>
      </c>
      <c r="AN23" s="9">
        <v>0.630686</v>
      </c>
      <c r="AO23" s="9">
        <v>0.491842</v>
      </c>
      <c r="AP23" s="9">
        <v>0.441124</v>
      </c>
      <c r="AQ23" s="24">
        <f t="shared" si="4"/>
        <v>0.439787</v>
      </c>
      <c r="AR23" s="25"/>
      <c r="AS23" s="24">
        <f t="shared" si="5"/>
        <v>0.441124</v>
      </c>
      <c r="AT23" s="25"/>
      <c r="AU23" s="25"/>
      <c r="AV23" s="28"/>
      <c r="AW23" s="28"/>
      <c r="AX23" s="28"/>
    </row>
    <row r="24" s="3" customFormat="1" customHeight="1" spans="1:50">
      <c r="A24" s="10"/>
      <c r="B24" s="9"/>
      <c r="C24" s="9"/>
      <c r="D24" s="9" t="s">
        <v>129</v>
      </c>
      <c r="E24" s="15"/>
      <c r="F24" s="9" t="s">
        <v>141</v>
      </c>
      <c r="G24" s="9" t="s">
        <v>136</v>
      </c>
      <c r="H24" s="9" t="s">
        <v>145</v>
      </c>
      <c r="I24" s="9">
        <v>0.52027</v>
      </c>
      <c r="J24" s="9">
        <v>0.5086</v>
      </c>
      <c r="K24" s="9">
        <v>0.508764</v>
      </c>
      <c r="L24" s="9">
        <v>0.570455</v>
      </c>
      <c r="M24" s="9">
        <v>0.523189</v>
      </c>
      <c r="N24" s="9">
        <v>0.521596</v>
      </c>
      <c r="O24" s="9">
        <v>0.534226</v>
      </c>
      <c r="P24" s="9">
        <v>0.557491</v>
      </c>
      <c r="Q24" s="9">
        <v>0.50485</v>
      </c>
      <c r="R24" s="9">
        <v>0.534099</v>
      </c>
      <c r="S24" s="9">
        <v>0.515979</v>
      </c>
      <c r="T24" s="9">
        <v>0.495052</v>
      </c>
      <c r="U24" s="9">
        <v>0.47172</v>
      </c>
      <c r="V24" s="9">
        <v>0.504001</v>
      </c>
      <c r="W24" s="9">
        <v>0.518646</v>
      </c>
      <c r="X24" s="9">
        <v>0.402625</v>
      </c>
      <c r="Y24" s="9">
        <v>0.440489</v>
      </c>
      <c r="Z24" s="9">
        <v>0.593552</v>
      </c>
      <c r="AA24" s="9">
        <v>0.603561</v>
      </c>
      <c r="AB24" s="9">
        <v>0.623037</v>
      </c>
      <c r="AC24" s="9">
        <v>0.604721</v>
      </c>
      <c r="AD24" s="9">
        <v>0.577192</v>
      </c>
      <c r="AE24" s="9">
        <v>0.634046</v>
      </c>
      <c r="AF24" s="9">
        <v>0.633496</v>
      </c>
      <c r="AG24" s="9">
        <v>0.608944</v>
      </c>
      <c r="AH24" s="9">
        <v>0.540448</v>
      </c>
      <c r="AI24" s="9">
        <v>0.605623</v>
      </c>
      <c r="AJ24" s="9">
        <v>0.668806</v>
      </c>
      <c r="AK24" s="9">
        <v>0.56544</v>
      </c>
      <c r="AL24" s="9">
        <v>0.522167</v>
      </c>
      <c r="AM24" s="9">
        <v>0.578786</v>
      </c>
      <c r="AN24" s="9">
        <v>0.594638</v>
      </c>
      <c r="AO24" s="9">
        <v>0.461399</v>
      </c>
      <c r="AP24" s="9">
        <v>0.453114</v>
      </c>
      <c r="AQ24" s="24">
        <f t="shared" si="4"/>
        <v>0.402625</v>
      </c>
      <c r="AR24" s="25">
        <f>(AQ23-AQ24)/AQ23</f>
        <v>0.0844999965892579</v>
      </c>
      <c r="AS24" s="24">
        <f t="shared" si="5"/>
        <v>0.453114</v>
      </c>
      <c r="AT24" s="25">
        <f>(AS23-AS24)/AS23</f>
        <v>-0.0271805660086506</v>
      </c>
      <c r="AU24" s="25"/>
      <c r="AV24" s="28"/>
      <c r="AW24" s="28"/>
      <c r="AX24" s="28"/>
    </row>
    <row r="25" s="3" customFormat="1" customHeight="1" spans="1:50">
      <c r="A25" s="10"/>
      <c r="B25" s="9"/>
      <c r="C25" s="9"/>
      <c r="D25" s="9" t="s">
        <v>129</v>
      </c>
      <c r="E25" s="15"/>
      <c r="F25" s="9" t="s">
        <v>142</v>
      </c>
      <c r="G25" s="9" t="s">
        <v>136</v>
      </c>
      <c r="H25" s="9" t="s">
        <v>145</v>
      </c>
      <c r="I25" s="9">
        <v>0.450494</v>
      </c>
      <c r="J25" s="9">
        <v>0.451224</v>
      </c>
      <c r="K25" s="9">
        <v>0.442405</v>
      </c>
      <c r="L25" s="9">
        <v>0.481634</v>
      </c>
      <c r="M25" s="9">
        <v>0.377544</v>
      </c>
      <c r="N25" s="9">
        <v>0.42883</v>
      </c>
      <c r="O25" s="9">
        <v>0.420766</v>
      </c>
      <c r="P25" s="9">
        <v>0.464619</v>
      </c>
      <c r="Q25" s="9">
        <v>0.392793</v>
      </c>
      <c r="R25" s="9">
        <v>0.373134</v>
      </c>
      <c r="S25" s="9">
        <v>0.419291</v>
      </c>
      <c r="T25" s="9">
        <v>0.440368</v>
      </c>
      <c r="U25" s="9">
        <v>0.391812</v>
      </c>
      <c r="V25" s="9">
        <v>0.417085</v>
      </c>
      <c r="W25" s="9">
        <v>0.487467</v>
      </c>
      <c r="X25" s="9">
        <v>0.438967</v>
      </c>
      <c r="Y25" s="9">
        <v>0.304804</v>
      </c>
      <c r="Z25" s="9">
        <v>0.523617</v>
      </c>
      <c r="AA25" s="9">
        <v>0.490149</v>
      </c>
      <c r="AB25" s="9">
        <v>0.509455</v>
      </c>
      <c r="AC25" s="9">
        <v>0.531638</v>
      </c>
      <c r="AD25" s="9">
        <v>0.365645</v>
      </c>
      <c r="AE25" s="9">
        <v>0.497775</v>
      </c>
      <c r="AF25" s="9">
        <v>0.535146</v>
      </c>
      <c r="AG25" s="9">
        <v>0.50313</v>
      </c>
      <c r="AH25" s="9">
        <v>0.372802</v>
      </c>
      <c r="AI25" s="9">
        <v>0.470216</v>
      </c>
      <c r="AJ25" s="9">
        <v>0.608779</v>
      </c>
      <c r="AK25" s="9">
        <v>0.532516</v>
      </c>
      <c r="AL25" s="9">
        <v>0.35801</v>
      </c>
      <c r="AM25" s="9">
        <v>0.501438</v>
      </c>
      <c r="AN25" s="9">
        <v>0.587196</v>
      </c>
      <c r="AO25" s="9">
        <v>0.460866</v>
      </c>
      <c r="AP25" s="9">
        <v>0.300695</v>
      </c>
      <c r="AQ25" s="24">
        <f t="shared" si="4"/>
        <v>0.304804</v>
      </c>
      <c r="AR25" s="25">
        <f>(AQ23-AQ25)/AQ23</f>
        <v>0.306928126570362</v>
      </c>
      <c r="AS25" s="24">
        <f t="shared" si="5"/>
        <v>0.300695</v>
      </c>
      <c r="AT25" s="25">
        <f>(AS23-AS25)/AS23</f>
        <v>0.318343594998232</v>
      </c>
      <c r="AU25" s="25"/>
      <c r="AV25" s="28"/>
      <c r="AW25" s="28"/>
      <c r="AX25" s="28"/>
    </row>
    <row r="26" s="3" customFormat="1" customHeight="1" spans="1:50">
      <c r="A26" s="10"/>
      <c r="B26" s="9"/>
      <c r="C26" s="9"/>
      <c r="D26" s="9" t="s">
        <v>129</v>
      </c>
      <c r="E26" s="15"/>
      <c r="F26" s="9" t="s">
        <v>143</v>
      </c>
      <c r="G26" s="9" t="s">
        <v>136</v>
      </c>
      <c r="H26" s="9" t="s">
        <v>145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26"/>
      <c r="AR26" s="27"/>
      <c r="AS26" s="26"/>
      <c r="AT26" s="27"/>
      <c r="AU26" s="25"/>
      <c r="AV26" s="28"/>
      <c r="AW26" s="28"/>
      <c r="AX26" s="28"/>
    </row>
    <row r="27" s="3" customFormat="1" ht="107" customHeight="1" spans="1:50">
      <c r="A27" s="9"/>
      <c r="B27" s="9"/>
      <c r="C27" s="9"/>
      <c r="D27" s="9" t="s">
        <v>129</v>
      </c>
      <c r="E27" s="15" t="s">
        <v>242</v>
      </c>
      <c r="F27" s="9" t="s">
        <v>78</v>
      </c>
      <c r="G27" s="9" t="s">
        <v>131</v>
      </c>
      <c r="H27" s="9" t="s">
        <v>147</v>
      </c>
      <c r="I27" s="9">
        <v>0.583889</v>
      </c>
      <c r="J27" s="9">
        <v>0.572774</v>
      </c>
      <c r="K27" s="9">
        <v>0.539232</v>
      </c>
      <c r="L27" s="9">
        <v>0.595338</v>
      </c>
      <c r="M27" s="9">
        <v>0.561797</v>
      </c>
      <c r="N27" s="9">
        <v>0.481082</v>
      </c>
      <c r="O27" s="9">
        <v>0.55161</v>
      </c>
      <c r="P27" s="9">
        <v>0.585933</v>
      </c>
      <c r="Q27" s="9">
        <v>0.488904</v>
      </c>
      <c r="R27" s="9">
        <v>0.484623</v>
      </c>
      <c r="S27" s="9">
        <v>0.514841</v>
      </c>
      <c r="T27" s="9">
        <v>0.540851</v>
      </c>
      <c r="U27" s="9">
        <v>0.440372</v>
      </c>
      <c r="V27" s="9">
        <v>0.492972</v>
      </c>
      <c r="W27" s="9">
        <v>0.480091</v>
      </c>
      <c r="X27" s="9">
        <v>0.493556</v>
      </c>
      <c r="Y27" s="9">
        <v>0.425678</v>
      </c>
      <c r="Z27" s="9">
        <v>0.564735</v>
      </c>
      <c r="AA27" s="9">
        <v>0.560318</v>
      </c>
      <c r="AB27" s="9">
        <v>0.584034</v>
      </c>
      <c r="AC27" s="9">
        <v>0.583974</v>
      </c>
      <c r="AD27" s="9">
        <v>0.552437</v>
      </c>
      <c r="AE27" s="9">
        <v>0.542666</v>
      </c>
      <c r="AF27" s="9">
        <v>0.602096</v>
      </c>
      <c r="AG27" s="9">
        <v>0.570458</v>
      </c>
      <c r="AH27" s="9">
        <v>0.490992</v>
      </c>
      <c r="AI27" s="9">
        <v>0.552346</v>
      </c>
      <c r="AJ27" s="9">
        <v>0.591346</v>
      </c>
      <c r="AK27" s="9">
        <v>0.5454</v>
      </c>
      <c r="AL27" s="9">
        <v>0.400517</v>
      </c>
      <c r="AM27" s="9">
        <v>0.512324</v>
      </c>
      <c r="AN27" s="9">
        <v>0.618922</v>
      </c>
      <c r="AO27" s="9">
        <v>0.545587</v>
      </c>
      <c r="AP27" s="9">
        <v>0.370718</v>
      </c>
      <c r="AQ27" s="24">
        <f t="shared" si="4"/>
        <v>0.425678</v>
      </c>
      <c r="AR27" s="25"/>
      <c r="AS27" s="24">
        <f t="shared" si="5"/>
        <v>0.370718</v>
      </c>
      <c r="AT27" s="25"/>
      <c r="AU27" s="25"/>
      <c r="AV27" s="28"/>
      <c r="AW27" s="28"/>
      <c r="AX27" s="28"/>
    </row>
    <row r="28" s="3" customFormat="1" ht="107" customHeight="1" spans="1:50">
      <c r="A28" s="9"/>
      <c r="B28" s="9"/>
      <c r="C28" s="9"/>
      <c r="D28" s="9" t="s">
        <v>129</v>
      </c>
      <c r="E28" s="15"/>
      <c r="F28" s="9" t="s">
        <v>92</v>
      </c>
      <c r="G28" s="9" t="s">
        <v>131</v>
      </c>
      <c r="H28" s="9" t="s">
        <v>147</v>
      </c>
      <c r="I28" s="9">
        <v>0.557687</v>
      </c>
      <c r="J28" s="9">
        <v>0.576103</v>
      </c>
      <c r="K28" s="9">
        <v>0.566408</v>
      </c>
      <c r="L28" s="9">
        <v>0.610945</v>
      </c>
      <c r="M28" s="9">
        <v>0.582383</v>
      </c>
      <c r="N28" s="9">
        <v>0.53613</v>
      </c>
      <c r="O28" s="9">
        <v>0.54944</v>
      </c>
      <c r="P28" s="9">
        <v>0.552899</v>
      </c>
      <c r="Q28" s="9">
        <v>0.516481</v>
      </c>
      <c r="R28" s="9">
        <v>0.49125</v>
      </c>
      <c r="S28" s="9">
        <v>0.465102</v>
      </c>
      <c r="T28" s="9">
        <v>0.500631</v>
      </c>
      <c r="U28" s="9">
        <v>0.450369</v>
      </c>
      <c r="V28" s="9">
        <v>0.499121</v>
      </c>
      <c r="W28" s="9">
        <v>0.478332</v>
      </c>
      <c r="X28" s="9">
        <v>0.470358</v>
      </c>
      <c r="Y28" s="9">
        <v>0.429253</v>
      </c>
      <c r="Z28" s="9">
        <v>0.53796</v>
      </c>
      <c r="AA28" s="9">
        <v>0.560389</v>
      </c>
      <c r="AB28" s="9">
        <v>0.586135</v>
      </c>
      <c r="AC28" s="9">
        <v>0.57829</v>
      </c>
      <c r="AD28" s="9">
        <v>0.541514</v>
      </c>
      <c r="AE28" s="9">
        <v>0.57203</v>
      </c>
      <c r="AF28" s="9">
        <v>0.589355</v>
      </c>
      <c r="AG28" s="9">
        <v>0.545944</v>
      </c>
      <c r="AH28" s="9">
        <v>0.506231</v>
      </c>
      <c r="AI28" s="9">
        <v>0.53958</v>
      </c>
      <c r="AJ28" s="9">
        <v>0.626576</v>
      </c>
      <c r="AK28" s="9">
        <v>0.53538</v>
      </c>
      <c r="AL28" s="9">
        <v>0.418994</v>
      </c>
      <c r="AM28" s="9">
        <v>0.526092</v>
      </c>
      <c r="AN28" s="9">
        <v>0.602902</v>
      </c>
      <c r="AO28" s="9">
        <v>0.511377</v>
      </c>
      <c r="AP28" s="9">
        <v>0.372085</v>
      </c>
      <c r="AQ28" s="24">
        <f t="shared" si="4"/>
        <v>0.429253</v>
      </c>
      <c r="AR28" s="25">
        <f>(AQ27-AQ28)/AQ27</f>
        <v>-0.00839836684066359</v>
      </c>
      <c r="AS28" s="24">
        <f t="shared" si="5"/>
        <v>0.372085</v>
      </c>
      <c r="AT28" s="25">
        <f>(AS27-AS28)/AS27</f>
        <v>-0.00368743896978298</v>
      </c>
      <c r="AU28" s="25"/>
      <c r="AV28" s="28"/>
      <c r="AW28" s="28"/>
      <c r="AX28" s="28"/>
    </row>
    <row r="29" s="3" customFormat="1" ht="121" customHeight="1" spans="1:50">
      <c r="A29" s="9"/>
      <c r="B29" s="9"/>
      <c r="C29" s="9"/>
      <c r="D29" s="9" t="s">
        <v>129</v>
      </c>
      <c r="E29" s="15"/>
      <c r="F29" s="9" t="s">
        <v>78</v>
      </c>
      <c r="G29" s="9" t="s">
        <v>134</v>
      </c>
      <c r="H29" s="9" t="s">
        <v>149</v>
      </c>
      <c r="I29" s="9">
        <v>0.538077</v>
      </c>
      <c r="J29" s="9">
        <v>0.510765</v>
      </c>
      <c r="K29" s="9">
        <v>0.497963</v>
      </c>
      <c r="L29" s="9">
        <v>0.568818</v>
      </c>
      <c r="M29" s="9">
        <v>0.577942</v>
      </c>
      <c r="N29" s="9">
        <v>0.476249</v>
      </c>
      <c r="O29" s="9">
        <v>0.483537</v>
      </c>
      <c r="P29" s="9">
        <v>0.574067</v>
      </c>
      <c r="Q29" s="9">
        <v>0.561243</v>
      </c>
      <c r="R29" s="9">
        <v>0.520485</v>
      </c>
      <c r="S29" s="9">
        <v>0.453581</v>
      </c>
      <c r="T29" s="9">
        <v>0.510531</v>
      </c>
      <c r="U29" s="9">
        <v>0.567746</v>
      </c>
      <c r="V29" s="9">
        <v>0.47926</v>
      </c>
      <c r="W29" s="9">
        <v>0.398804</v>
      </c>
      <c r="X29" s="9">
        <v>0.52503</v>
      </c>
      <c r="Y29" s="9">
        <v>0.44305</v>
      </c>
      <c r="Z29" s="9">
        <v>0.587505</v>
      </c>
      <c r="AA29" s="9">
        <v>0.598425</v>
      </c>
      <c r="AB29" s="9">
        <v>0.630197</v>
      </c>
      <c r="AC29" s="9">
        <v>0.630388</v>
      </c>
      <c r="AD29" s="9">
        <v>0.614935</v>
      </c>
      <c r="AE29" s="9">
        <v>0.564269</v>
      </c>
      <c r="AF29" s="9">
        <v>0.614838</v>
      </c>
      <c r="AG29" s="9">
        <v>0.619283</v>
      </c>
      <c r="AH29" s="9">
        <v>0.579603</v>
      </c>
      <c r="AI29" s="9">
        <v>0.580043</v>
      </c>
      <c r="AJ29" s="9">
        <v>0.580893</v>
      </c>
      <c r="AK29" s="9">
        <v>0.59427</v>
      </c>
      <c r="AL29" s="9">
        <v>0.579162</v>
      </c>
      <c r="AM29" s="9">
        <v>0.559281</v>
      </c>
      <c r="AN29" s="9">
        <v>0.563424</v>
      </c>
      <c r="AO29" s="9">
        <v>0.573822</v>
      </c>
      <c r="AP29" s="9">
        <v>0.482154</v>
      </c>
      <c r="AQ29" s="24">
        <f t="shared" si="4"/>
        <v>0.398804</v>
      </c>
      <c r="AR29" s="25"/>
      <c r="AS29" s="24">
        <f t="shared" si="5"/>
        <v>0.482154</v>
      </c>
      <c r="AT29" s="25"/>
      <c r="AU29" s="25"/>
      <c r="AV29" s="28"/>
      <c r="AW29" s="28"/>
      <c r="AX29" s="28"/>
    </row>
    <row r="30" s="3" customFormat="1" ht="121" customHeight="1" spans="1:50">
      <c r="A30" s="9"/>
      <c r="B30" s="9"/>
      <c r="C30" s="9"/>
      <c r="D30" s="9" t="s">
        <v>129</v>
      </c>
      <c r="E30" s="15"/>
      <c r="F30" s="9" t="s">
        <v>92</v>
      </c>
      <c r="G30" s="9" t="s">
        <v>134</v>
      </c>
      <c r="H30" s="9" t="s">
        <v>149</v>
      </c>
      <c r="I30" s="9">
        <v>0.518274</v>
      </c>
      <c r="J30" s="9">
        <v>0.473929</v>
      </c>
      <c r="K30" s="9">
        <v>0.439641</v>
      </c>
      <c r="L30" s="9">
        <v>0.531973</v>
      </c>
      <c r="M30" s="9">
        <v>0.53113</v>
      </c>
      <c r="N30" s="9">
        <v>0.501408</v>
      </c>
      <c r="O30" s="9">
        <v>0.469607</v>
      </c>
      <c r="P30" s="9">
        <v>0.510728</v>
      </c>
      <c r="Q30" s="9">
        <v>0.547723</v>
      </c>
      <c r="R30" s="9">
        <v>0.505421</v>
      </c>
      <c r="S30" s="9">
        <v>0.374405</v>
      </c>
      <c r="T30" s="9">
        <v>0.446677</v>
      </c>
      <c r="U30" s="9">
        <v>0.546146</v>
      </c>
      <c r="V30" s="9">
        <v>0.491381</v>
      </c>
      <c r="W30" s="9">
        <v>0.47627</v>
      </c>
      <c r="X30" s="9">
        <v>0.438051</v>
      </c>
      <c r="Y30" s="9">
        <v>0.508849</v>
      </c>
      <c r="Z30" s="9">
        <v>0.56858</v>
      </c>
      <c r="AA30" s="9">
        <v>0.57485</v>
      </c>
      <c r="AB30" s="9">
        <v>0.606535</v>
      </c>
      <c r="AC30" s="9">
        <v>0.596479</v>
      </c>
      <c r="AD30" s="9">
        <v>0.577635</v>
      </c>
      <c r="AE30" s="9">
        <v>0.587617</v>
      </c>
      <c r="AF30" s="9">
        <v>0.578566</v>
      </c>
      <c r="AG30" s="9">
        <v>0.587462</v>
      </c>
      <c r="AH30" s="9">
        <v>0.569964</v>
      </c>
      <c r="AI30" s="9">
        <v>0.571424</v>
      </c>
      <c r="AJ30" s="9">
        <v>0.548694</v>
      </c>
      <c r="AK30" s="9">
        <v>0.589663</v>
      </c>
      <c r="AL30" s="9">
        <v>0.577228</v>
      </c>
      <c r="AM30" s="9">
        <v>0.554338</v>
      </c>
      <c r="AN30" s="9">
        <v>0.564545</v>
      </c>
      <c r="AO30" s="9">
        <v>0.489182</v>
      </c>
      <c r="AP30" s="9">
        <v>0.478049</v>
      </c>
      <c r="AQ30" s="24">
        <f t="shared" si="4"/>
        <v>0.374405</v>
      </c>
      <c r="AR30" s="25">
        <f>(AQ29-AQ30)/AQ29</f>
        <v>0.0611804294841576</v>
      </c>
      <c r="AS30" s="24">
        <f t="shared" si="5"/>
        <v>0.478049</v>
      </c>
      <c r="AT30" s="25">
        <f>(AS29-AS30)/AS29</f>
        <v>0.00851387730890965</v>
      </c>
      <c r="AU30" s="25"/>
      <c r="AV30" s="28"/>
      <c r="AW30" s="28"/>
      <c r="AX30" s="28"/>
    </row>
    <row r="31" s="3" customFormat="1" ht="121" customHeight="1" spans="1:50">
      <c r="A31" s="9"/>
      <c r="B31" s="9"/>
      <c r="C31" s="9"/>
      <c r="D31" s="9" t="s">
        <v>129</v>
      </c>
      <c r="E31" s="15"/>
      <c r="F31" s="9" t="s">
        <v>78</v>
      </c>
      <c r="G31" s="9" t="s">
        <v>136</v>
      </c>
      <c r="H31" s="9" t="s">
        <v>150</v>
      </c>
      <c r="I31" s="9">
        <v>0.478463</v>
      </c>
      <c r="J31" s="9">
        <v>0.495875</v>
      </c>
      <c r="K31" s="9">
        <v>0.494492</v>
      </c>
      <c r="L31" s="9">
        <v>0.514193</v>
      </c>
      <c r="M31" s="9">
        <v>0.48854</v>
      </c>
      <c r="N31" s="9">
        <v>0.500702</v>
      </c>
      <c r="O31" s="9">
        <v>0.481447</v>
      </c>
      <c r="P31" s="9">
        <v>0.526004</v>
      </c>
      <c r="Q31" s="9">
        <v>0.473078</v>
      </c>
      <c r="R31" s="9">
        <v>0.483431</v>
      </c>
      <c r="S31" s="9">
        <v>0.498266</v>
      </c>
      <c r="T31" s="9">
        <v>0.511937</v>
      </c>
      <c r="U31" s="9">
        <v>0.434222</v>
      </c>
      <c r="V31" s="9">
        <v>0.526348</v>
      </c>
      <c r="W31" s="9">
        <v>0.449857</v>
      </c>
      <c r="X31" s="9">
        <v>0.444475</v>
      </c>
      <c r="Y31" s="9">
        <v>0.370161</v>
      </c>
      <c r="Z31" s="9">
        <v>0.509609</v>
      </c>
      <c r="AA31" s="9">
        <v>0.535701</v>
      </c>
      <c r="AB31" s="9">
        <v>0.589245</v>
      </c>
      <c r="AC31" s="9">
        <v>0.53507</v>
      </c>
      <c r="AD31" s="9">
        <v>0.49326</v>
      </c>
      <c r="AE31" s="9">
        <v>0.49378</v>
      </c>
      <c r="AF31" s="9">
        <v>0.604828</v>
      </c>
      <c r="AG31" s="9">
        <v>0.506187</v>
      </c>
      <c r="AH31" s="9">
        <v>0.47267</v>
      </c>
      <c r="AI31" s="9">
        <v>0.513713</v>
      </c>
      <c r="AJ31" s="9">
        <v>0.605002</v>
      </c>
      <c r="AK31" s="9">
        <v>0.490941</v>
      </c>
      <c r="AL31" s="9">
        <v>0.440341</v>
      </c>
      <c r="AM31" s="9">
        <v>0.494233</v>
      </c>
      <c r="AN31" s="9">
        <v>0.617754</v>
      </c>
      <c r="AO31" s="9">
        <v>0.439821</v>
      </c>
      <c r="AP31" s="9">
        <v>0.361725</v>
      </c>
      <c r="AQ31" s="24">
        <f t="shared" si="4"/>
        <v>0.370161</v>
      </c>
      <c r="AR31" s="25"/>
      <c r="AS31" s="24">
        <f t="shared" si="5"/>
        <v>0.361725</v>
      </c>
      <c r="AT31" s="25"/>
      <c r="AU31" s="25"/>
      <c r="AV31" s="28"/>
      <c r="AW31" s="28"/>
      <c r="AX31" s="28"/>
    </row>
    <row r="32" s="3" customFormat="1" ht="121" customHeight="1" spans="1:50">
      <c r="A32" s="9"/>
      <c r="B32" s="9"/>
      <c r="C32" s="9"/>
      <c r="D32" s="9" t="s">
        <v>129</v>
      </c>
      <c r="E32" s="15"/>
      <c r="F32" s="9" t="s">
        <v>92</v>
      </c>
      <c r="G32" s="9" t="s">
        <v>136</v>
      </c>
      <c r="H32" s="9" t="s">
        <v>150</v>
      </c>
      <c r="I32" s="9">
        <v>0.560251</v>
      </c>
      <c r="J32" s="9">
        <v>0.524374</v>
      </c>
      <c r="K32" s="9">
        <v>0.536784</v>
      </c>
      <c r="L32" s="9">
        <v>0.576249</v>
      </c>
      <c r="M32" s="9">
        <v>0.535757</v>
      </c>
      <c r="N32" s="9">
        <v>0.504453</v>
      </c>
      <c r="O32" s="9">
        <v>0.518146</v>
      </c>
      <c r="P32" s="9">
        <v>0.535764</v>
      </c>
      <c r="Q32" s="9">
        <v>0.512276</v>
      </c>
      <c r="R32" s="9">
        <v>0.513246</v>
      </c>
      <c r="S32" s="9">
        <v>0.477754</v>
      </c>
      <c r="T32" s="9">
        <v>0.475178</v>
      </c>
      <c r="U32" s="9">
        <v>0.438763</v>
      </c>
      <c r="V32" s="9">
        <v>0.515878</v>
      </c>
      <c r="W32" s="9">
        <v>0.524232</v>
      </c>
      <c r="X32" s="9">
        <v>0.402714</v>
      </c>
      <c r="Y32" s="9">
        <v>0.403182</v>
      </c>
      <c r="Z32" s="9">
        <v>0.550123</v>
      </c>
      <c r="AA32" s="9">
        <v>0.527317</v>
      </c>
      <c r="AB32" s="9">
        <v>0.582094</v>
      </c>
      <c r="AC32" s="9">
        <v>0.560565</v>
      </c>
      <c r="AD32" s="9">
        <v>0.514855</v>
      </c>
      <c r="AE32" s="9">
        <v>0.5125</v>
      </c>
      <c r="AF32" s="9">
        <v>0.565757</v>
      </c>
      <c r="AG32" s="9">
        <v>0.513741</v>
      </c>
      <c r="AH32" s="9">
        <v>0.478499</v>
      </c>
      <c r="AI32" s="9">
        <v>0.459735</v>
      </c>
      <c r="AJ32" s="9">
        <v>0.613358</v>
      </c>
      <c r="AK32" s="9">
        <v>0.503533</v>
      </c>
      <c r="AL32" s="9">
        <v>0.406534</v>
      </c>
      <c r="AM32" s="9">
        <v>0.47815</v>
      </c>
      <c r="AN32" s="9">
        <v>0.591877</v>
      </c>
      <c r="AO32" s="9">
        <v>0.420064</v>
      </c>
      <c r="AP32" s="9">
        <v>0.372807</v>
      </c>
      <c r="AQ32" s="24">
        <f t="shared" si="4"/>
        <v>0.402714</v>
      </c>
      <c r="AR32" s="25">
        <f>(AQ31-AQ32)/AQ31</f>
        <v>-0.0879428140727953</v>
      </c>
      <c r="AS32" s="24">
        <f t="shared" si="5"/>
        <v>0.372807</v>
      </c>
      <c r="AT32" s="25">
        <f>(AS31-AS32)/AS31</f>
        <v>-0.0306365332780427</v>
      </c>
      <c r="AU32" s="25"/>
      <c r="AV32" s="28"/>
      <c r="AW32" s="28"/>
      <c r="AX32" s="28"/>
    </row>
    <row r="33" customHeight="1" spans="1:50">
      <c r="A33" s="11"/>
      <c r="B33" s="11"/>
      <c r="C33" s="11"/>
      <c r="D33" s="9" t="s">
        <v>129</v>
      </c>
      <c r="E33" s="17" t="s">
        <v>243</v>
      </c>
      <c r="F33" s="18" t="s">
        <v>78</v>
      </c>
      <c r="G33" s="9" t="s">
        <v>131</v>
      </c>
      <c r="H33" s="9" t="s">
        <v>152</v>
      </c>
      <c r="I33" s="9">
        <v>0.486153</v>
      </c>
      <c r="J33" s="9">
        <v>0.531461</v>
      </c>
      <c r="K33" s="9">
        <v>0.485826</v>
      </c>
      <c r="L33" s="9">
        <v>0.483834</v>
      </c>
      <c r="M33" s="9">
        <v>0.501423</v>
      </c>
      <c r="N33" s="9">
        <v>0.51985</v>
      </c>
      <c r="O33" s="9">
        <v>0.489237</v>
      </c>
      <c r="P33" s="9">
        <v>0.49519</v>
      </c>
      <c r="Q33" s="9">
        <v>0.456237</v>
      </c>
      <c r="R33" s="9">
        <v>0.541731</v>
      </c>
      <c r="S33" s="9">
        <v>0.48292</v>
      </c>
      <c r="T33" s="9">
        <v>0.455712</v>
      </c>
      <c r="U33" s="9">
        <v>0.4267</v>
      </c>
      <c r="V33" s="9">
        <v>0.518936</v>
      </c>
      <c r="W33" s="9">
        <v>0.469453</v>
      </c>
      <c r="X33" s="9">
        <v>0.448494</v>
      </c>
      <c r="Y33" s="9">
        <v>0.322276</v>
      </c>
      <c r="Z33" s="9">
        <v>0.586191</v>
      </c>
      <c r="AA33" s="9">
        <v>0.607338</v>
      </c>
      <c r="AB33" s="9">
        <v>0.628805</v>
      </c>
      <c r="AC33" s="9">
        <v>0.596339</v>
      </c>
      <c r="AD33" s="9">
        <v>0.53434</v>
      </c>
      <c r="AE33" s="9">
        <v>0.604527</v>
      </c>
      <c r="AF33" s="9">
        <v>0.622046</v>
      </c>
      <c r="AG33" s="9">
        <v>0.589202</v>
      </c>
      <c r="AH33" s="9">
        <v>0.530557</v>
      </c>
      <c r="AI33" s="9">
        <v>0.612308</v>
      </c>
      <c r="AJ33" s="9">
        <v>0.57439</v>
      </c>
      <c r="AK33" s="9">
        <v>0.519409</v>
      </c>
      <c r="AL33" s="9">
        <v>0.478734</v>
      </c>
      <c r="AM33" s="9">
        <v>0.559556</v>
      </c>
      <c r="AN33" s="9">
        <v>0.593116</v>
      </c>
      <c r="AO33" s="9">
        <v>0.520619</v>
      </c>
      <c r="AP33" s="9">
        <v>0.39728</v>
      </c>
      <c r="AQ33" s="24">
        <f t="shared" si="4"/>
        <v>0.322276</v>
      </c>
      <c r="AR33" s="25"/>
      <c r="AS33" s="24">
        <f t="shared" si="5"/>
        <v>0.39728</v>
      </c>
      <c r="AT33" s="25"/>
      <c r="AU33" s="25"/>
      <c r="AV33" s="18"/>
      <c r="AW33" s="18"/>
      <c r="AX33" s="18"/>
    </row>
    <row r="34" customHeight="1" spans="1:50">
      <c r="A34" s="11"/>
      <c r="B34" s="11"/>
      <c r="C34" s="11"/>
      <c r="D34" s="9" t="s">
        <v>129</v>
      </c>
      <c r="E34" s="17"/>
      <c r="F34" s="18" t="s">
        <v>153</v>
      </c>
      <c r="G34" s="9" t="s">
        <v>131</v>
      </c>
      <c r="H34" s="9" t="s">
        <v>152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4"/>
      <c r="AR34" s="25"/>
      <c r="AS34" s="24"/>
      <c r="AT34" s="25"/>
      <c r="AU34" s="25"/>
      <c r="AV34" s="18"/>
      <c r="AW34" s="18"/>
      <c r="AX34" s="18"/>
    </row>
    <row r="35" customHeight="1" spans="1:50">
      <c r="A35" s="11"/>
      <c r="B35" s="11"/>
      <c r="C35" s="11"/>
      <c r="D35" s="9" t="s">
        <v>129</v>
      </c>
      <c r="E35" s="17"/>
      <c r="F35" s="18" t="s">
        <v>154</v>
      </c>
      <c r="G35" s="9" t="s">
        <v>131</v>
      </c>
      <c r="H35" s="9" t="s">
        <v>152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4"/>
      <c r="AR35" s="25"/>
      <c r="AS35" s="24"/>
      <c r="AT35" s="25"/>
      <c r="AU35" s="25"/>
      <c r="AV35" s="18"/>
      <c r="AW35" s="18"/>
      <c r="AX35" s="18"/>
    </row>
    <row r="36" customHeight="1" spans="1:50">
      <c r="A36" s="11"/>
      <c r="B36" s="11"/>
      <c r="C36" s="11"/>
      <c r="D36" s="9" t="s">
        <v>129</v>
      </c>
      <c r="E36" s="17"/>
      <c r="F36" s="18" t="s">
        <v>95</v>
      </c>
      <c r="G36" s="9" t="s">
        <v>131</v>
      </c>
      <c r="H36" s="9" t="s">
        <v>152</v>
      </c>
      <c r="I36" s="9">
        <v>0.451694</v>
      </c>
      <c r="J36" s="9">
        <v>0.497795</v>
      </c>
      <c r="K36" s="9">
        <v>0.461578</v>
      </c>
      <c r="L36" s="9">
        <v>0.474718</v>
      </c>
      <c r="M36" s="9">
        <v>0.477725</v>
      </c>
      <c r="N36" s="9">
        <v>0.54324</v>
      </c>
      <c r="O36" s="9">
        <v>0.466522</v>
      </c>
      <c r="P36" s="9">
        <v>0.435542</v>
      </c>
      <c r="Q36" s="9">
        <v>0.433099</v>
      </c>
      <c r="R36" s="9">
        <v>0.54033</v>
      </c>
      <c r="S36" s="9">
        <v>0.424657</v>
      </c>
      <c r="T36" s="9">
        <v>0.395272</v>
      </c>
      <c r="U36" s="9">
        <v>0.427934</v>
      </c>
      <c r="V36" s="9">
        <v>0.523466</v>
      </c>
      <c r="W36" s="9">
        <v>0.513803</v>
      </c>
      <c r="X36" s="9">
        <v>0.395065</v>
      </c>
      <c r="Y36" s="9">
        <v>0.371948</v>
      </c>
      <c r="Z36" s="9">
        <v>0.594469</v>
      </c>
      <c r="AA36" s="9">
        <v>0.591264</v>
      </c>
      <c r="AB36" s="9">
        <v>0.616294</v>
      </c>
      <c r="AC36" s="9">
        <v>0.595909</v>
      </c>
      <c r="AD36" s="9">
        <v>0.533967</v>
      </c>
      <c r="AE36" s="9">
        <v>0.612722</v>
      </c>
      <c r="AF36" s="9">
        <v>0.613639</v>
      </c>
      <c r="AG36" s="9">
        <v>0.565528</v>
      </c>
      <c r="AH36" s="9">
        <v>0.517398</v>
      </c>
      <c r="AI36" s="9">
        <v>0.625775</v>
      </c>
      <c r="AJ36" s="9">
        <v>0.60321</v>
      </c>
      <c r="AK36" s="9">
        <v>0.521724</v>
      </c>
      <c r="AL36" s="9">
        <v>0.50975</v>
      </c>
      <c r="AM36" s="9">
        <v>0.580431</v>
      </c>
      <c r="AN36" s="9">
        <v>0.593606</v>
      </c>
      <c r="AO36" s="9">
        <v>0.494207</v>
      </c>
      <c r="AP36" s="9">
        <v>0.428622</v>
      </c>
      <c r="AQ36" s="24">
        <f t="shared" ref="AQ36:AQ41" si="6">MIN(I36:Y36)</f>
        <v>0.371948</v>
      </c>
      <c r="AR36" s="25">
        <f>(AQ33-AQ36)/AQ33</f>
        <v>-0.154128759200189</v>
      </c>
      <c r="AS36" s="24">
        <f t="shared" ref="AS36:AS41" si="7">MIN(Z36:AP36)</f>
        <v>0.428622</v>
      </c>
      <c r="AT36" s="25">
        <f>(AS33-AS36)/AS33</f>
        <v>-0.0788914619412001</v>
      </c>
      <c r="AU36" s="25"/>
      <c r="AV36" s="18"/>
      <c r="AW36" s="18"/>
      <c r="AX36" s="18"/>
    </row>
    <row r="37" customHeight="1" spans="1:50">
      <c r="A37" s="11"/>
      <c r="B37" s="11"/>
      <c r="C37" s="11"/>
      <c r="D37" s="9" t="s">
        <v>129</v>
      </c>
      <c r="E37" s="17"/>
      <c r="F37" s="18" t="s">
        <v>78</v>
      </c>
      <c r="G37" s="18" t="s">
        <v>134</v>
      </c>
      <c r="H37" s="9" t="s">
        <v>155</v>
      </c>
      <c r="I37" s="9">
        <v>0.509724</v>
      </c>
      <c r="J37" s="9">
        <v>0.502308</v>
      </c>
      <c r="K37" s="9">
        <v>0.551048</v>
      </c>
      <c r="L37" s="9">
        <v>0.531474</v>
      </c>
      <c r="M37" s="9">
        <v>0.457722</v>
      </c>
      <c r="N37" s="9">
        <v>0.484476</v>
      </c>
      <c r="O37" s="9">
        <v>0.554797</v>
      </c>
      <c r="P37" s="9">
        <v>0.559306</v>
      </c>
      <c r="Q37" s="9">
        <v>0.45811</v>
      </c>
      <c r="R37" s="9">
        <v>0.412138</v>
      </c>
      <c r="S37" s="9">
        <v>0.535232</v>
      </c>
      <c r="T37" s="9">
        <v>0.448893</v>
      </c>
      <c r="U37" s="9">
        <v>0.405424</v>
      </c>
      <c r="V37" s="9">
        <v>0.442084</v>
      </c>
      <c r="W37" s="9">
        <v>0.481002</v>
      </c>
      <c r="X37" s="9">
        <v>0.417875</v>
      </c>
      <c r="Y37" s="9">
        <v>0.347085</v>
      </c>
      <c r="Z37" s="9">
        <v>0.549276</v>
      </c>
      <c r="AA37" s="9">
        <v>0.53233</v>
      </c>
      <c r="AB37" s="9">
        <v>0.590922</v>
      </c>
      <c r="AC37" s="9">
        <v>0.571396</v>
      </c>
      <c r="AD37" s="9">
        <v>0.477917</v>
      </c>
      <c r="AE37" s="9">
        <v>0.516116</v>
      </c>
      <c r="AF37" s="9">
        <v>0.607314</v>
      </c>
      <c r="AG37" s="9">
        <v>0.577642</v>
      </c>
      <c r="AH37" s="9">
        <v>0.484019</v>
      </c>
      <c r="AI37" s="9">
        <v>0.504996</v>
      </c>
      <c r="AJ37" s="9">
        <v>0.575618</v>
      </c>
      <c r="AK37" s="9">
        <v>0.524754</v>
      </c>
      <c r="AL37" s="9">
        <v>0.401727</v>
      </c>
      <c r="AM37" s="9">
        <v>0.479041</v>
      </c>
      <c r="AN37" s="9">
        <v>0.619185</v>
      </c>
      <c r="AO37" s="9">
        <v>0.458768</v>
      </c>
      <c r="AP37" s="9">
        <v>0.430811</v>
      </c>
      <c r="AQ37" s="24">
        <f t="shared" si="6"/>
        <v>0.347085</v>
      </c>
      <c r="AR37" s="25"/>
      <c r="AS37" s="24">
        <f t="shared" si="7"/>
        <v>0.401727</v>
      </c>
      <c r="AT37" s="25"/>
      <c r="AU37" s="25"/>
      <c r="AV37" s="18"/>
      <c r="AW37" s="18"/>
      <c r="AX37" s="18"/>
    </row>
    <row r="38" customHeight="1" spans="1:50">
      <c r="A38" s="11"/>
      <c r="B38" s="11"/>
      <c r="C38" s="11"/>
      <c r="D38" s="9" t="s">
        <v>129</v>
      </c>
      <c r="E38" s="17"/>
      <c r="F38" s="18" t="s">
        <v>153</v>
      </c>
      <c r="G38" s="18" t="s">
        <v>134</v>
      </c>
      <c r="H38" s="9" t="s">
        <v>155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4"/>
      <c r="AR38" s="25"/>
      <c r="AS38" s="24"/>
      <c r="AT38" s="25"/>
      <c r="AU38" s="25"/>
      <c r="AV38" s="18"/>
      <c r="AW38" s="18"/>
      <c r="AX38" s="18"/>
    </row>
    <row r="39" customHeight="1" spans="1:50">
      <c r="A39" s="11"/>
      <c r="B39" s="11"/>
      <c r="C39" s="11"/>
      <c r="D39" s="9" t="s">
        <v>129</v>
      </c>
      <c r="E39" s="17"/>
      <c r="F39" s="18" t="s">
        <v>154</v>
      </c>
      <c r="G39" s="18" t="s">
        <v>134</v>
      </c>
      <c r="H39" s="9" t="s">
        <v>155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24"/>
      <c r="AR39" s="25"/>
      <c r="AS39" s="24"/>
      <c r="AT39" s="25"/>
      <c r="AU39" s="25"/>
      <c r="AV39" s="18"/>
      <c r="AW39" s="18"/>
      <c r="AX39" s="18"/>
    </row>
    <row r="40" customHeight="1" spans="1:50">
      <c r="A40" s="11"/>
      <c r="B40" s="11"/>
      <c r="C40" s="11"/>
      <c r="D40" s="9" t="s">
        <v>129</v>
      </c>
      <c r="E40" s="17"/>
      <c r="F40" s="18" t="s">
        <v>95</v>
      </c>
      <c r="G40" s="18" t="s">
        <v>134</v>
      </c>
      <c r="H40" s="9" t="s">
        <v>155</v>
      </c>
      <c r="I40" s="9">
        <v>0.470228</v>
      </c>
      <c r="J40" s="9">
        <v>0.459294</v>
      </c>
      <c r="K40" s="9">
        <v>0.520266</v>
      </c>
      <c r="L40" s="9">
        <v>0.515465</v>
      </c>
      <c r="M40" s="9">
        <v>0.455615</v>
      </c>
      <c r="N40" s="9">
        <v>0.489622</v>
      </c>
      <c r="O40" s="9">
        <v>0.539249</v>
      </c>
      <c r="P40" s="9">
        <v>0.509209</v>
      </c>
      <c r="Q40" s="9">
        <v>0.431109</v>
      </c>
      <c r="R40" s="9">
        <v>0.421477</v>
      </c>
      <c r="S40" s="9">
        <v>0.461445</v>
      </c>
      <c r="T40" s="9">
        <v>0.434468</v>
      </c>
      <c r="U40" s="9">
        <v>0.413611</v>
      </c>
      <c r="V40" s="9">
        <v>0.41335</v>
      </c>
      <c r="W40" s="9">
        <v>0.514649</v>
      </c>
      <c r="X40" s="9">
        <v>0.374355</v>
      </c>
      <c r="Y40" s="9">
        <v>0.363208</v>
      </c>
      <c r="Z40" s="9">
        <v>0.496221</v>
      </c>
      <c r="AA40" s="9">
        <v>0.464375</v>
      </c>
      <c r="AB40" s="9">
        <v>0.561669</v>
      </c>
      <c r="AC40" s="9">
        <v>0.536428</v>
      </c>
      <c r="AD40" s="9">
        <v>0.461039</v>
      </c>
      <c r="AE40" s="9">
        <v>0.463769</v>
      </c>
      <c r="AF40" s="9">
        <v>0.541215</v>
      </c>
      <c r="AG40" s="9">
        <v>0.520071</v>
      </c>
      <c r="AH40" s="9">
        <v>0.436514</v>
      </c>
      <c r="AI40" s="9">
        <v>0.470755</v>
      </c>
      <c r="AJ40" s="9">
        <v>0.586819</v>
      </c>
      <c r="AK40" s="9">
        <v>0.485478</v>
      </c>
      <c r="AL40" s="9">
        <v>0.373721</v>
      </c>
      <c r="AM40" s="9">
        <v>0.407069</v>
      </c>
      <c r="AN40" s="9">
        <v>0.592301</v>
      </c>
      <c r="AO40" s="9">
        <v>0.399226</v>
      </c>
      <c r="AP40" s="9">
        <v>0.41425</v>
      </c>
      <c r="AQ40" s="24">
        <f t="shared" si="6"/>
        <v>0.363208</v>
      </c>
      <c r="AR40" s="25">
        <f>(AQ37-AQ40)/AQ37</f>
        <v>-0.046452598066756</v>
      </c>
      <c r="AS40" s="24">
        <f t="shared" si="7"/>
        <v>0.373721</v>
      </c>
      <c r="AT40" s="25">
        <f>(AS37-AS40)/AS37</f>
        <v>0.0697140097628488</v>
      </c>
      <c r="AU40" s="25"/>
      <c r="AV40" s="18"/>
      <c r="AW40" s="18"/>
      <c r="AX40" s="18"/>
    </row>
    <row r="41" customHeight="1" spans="1:50">
      <c r="A41" s="11"/>
      <c r="B41" s="11"/>
      <c r="C41" s="11"/>
      <c r="D41" s="9" t="s">
        <v>129</v>
      </c>
      <c r="E41" s="17"/>
      <c r="F41" s="18" t="s">
        <v>78</v>
      </c>
      <c r="G41" s="18" t="s">
        <v>136</v>
      </c>
      <c r="H41" s="9" t="s">
        <v>156</v>
      </c>
      <c r="I41" s="9">
        <v>0.565344</v>
      </c>
      <c r="J41" s="9">
        <v>0.52103</v>
      </c>
      <c r="K41" s="9">
        <v>0.516635</v>
      </c>
      <c r="L41" s="9">
        <v>0.567215</v>
      </c>
      <c r="M41" s="9">
        <v>0.529699</v>
      </c>
      <c r="N41" s="9">
        <v>0.486366</v>
      </c>
      <c r="O41" s="9">
        <v>0.522088</v>
      </c>
      <c r="P41" s="9">
        <v>0.567177</v>
      </c>
      <c r="Q41" s="9">
        <v>0.522205</v>
      </c>
      <c r="R41" s="9">
        <v>0.492862</v>
      </c>
      <c r="S41" s="9">
        <v>0.51627</v>
      </c>
      <c r="T41" s="9">
        <v>0.534809</v>
      </c>
      <c r="U41" s="9">
        <v>0.441601</v>
      </c>
      <c r="V41" s="9">
        <v>0.450914</v>
      </c>
      <c r="W41" s="9">
        <v>0.465251</v>
      </c>
      <c r="X41" s="9">
        <v>0.516852</v>
      </c>
      <c r="Y41" s="9">
        <v>0.308803</v>
      </c>
      <c r="Z41" s="9">
        <v>0.626406</v>
      </c>
      <c r="AA41" s="9">
        <v>0.606053</v>
      </c>
      <c r="AB41" s="9">
        <v>0.61869</v>
      </c>
      <c r="AC41" s="9">
        <v>0.637134</v>
      </c>
      <c r="AD41" s="9">
        <v>0.621957</v>
      </c>
      <c r="AE41" s="9">
        <v>0.579342</v>
      </c>
      <c r="AF41" s="9">
        <v>0.647265</v>
      </c>
      <c r="AG41" s="9">
        <v>0.619113</v>
      </c>
      <c r="AH41" s="9">
        <v>0.603676</v>
      </c>
      <c r="AI41" s="9">
        <v>0.609814</v>
      </c>
      <c r="AJ41" s="9">
        <v>0.608786</v>
      </c>
      <c r="AK41" s="9">
        <v>0.58257</v>
      </c>
      <c r="AL41" s="9">
        <v>0.546262</v>
      </c>
      <c r="AM41" s="9">
        <v>0.595423</v>
      </c>
      <c r="AN41" s="9">
        <v>0.636192</v>
      </c>
      <c r="AO41" s="9">
        <v>0.547862</v>
      </c>
      <c r="AP41" s="9">
        <v>0.493639</v>
      </c>
      <c r="AQ41" s="24">
        <f t="shared" si="6"/>
        <v>0.308803</v>
      </c>
      <c r="AR41" s="25"/>
      <c r="AS41" s="24">
        <f t="shared" si="7"/>
        <v>0.493639</v>
      </c>
      <c r="AT41" s="25"/>
      <c r="AU41" s="25"/>
      <c r="AV41" s="18"/>
      <c r="AW41" s="18"/>
      <c r="AX41" s="18"/>
    </row>
    <row r="42" customHeight="1" spans="1:50">
      <c r="A42" s="11"/>
      <c r="B42" s="11"/>
      <c r="C42" s="11"/>
      <c r="D42" s="9" t="s">
        <v>129</v>
      </c>
      <c r="E42" s="17"/>
      <c r="F42" s="18" t="s">
        <v>153</v>
      </c>
      <c r="G42" s="18" t="s">
        <v>136</v>
      </c>
      <c r="H42" s="9" t="s">
        <v>156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24"/>
      <c r="AR42" s="25"/>
      <c r="AS42" s="24"/>
      <c r="AT42" s="25"/>
      <c r="AU42" s="25"/>
      <c r="AV42" s="18"/>
      <c r="AW42" s="18"/>
      <c r="AX42" s="18"/>
    </row>
    <row r="43" customHeight="1" spans="1:50">
      <c r="A43" s="11"/>
      <c r="B43" s="11"/>
      <c r="C43" s="11"/>
      <c r="D43" s="9" t="s">
        <v>129</v>
      </c>
      <c r="E43" s="17"/>
      <c r="F43" s="18" t="s">
        <v>154</v>
      </c>
      <c r="G43" s="18" t="s">
        <v>136</v>
      </c>
      <c r="H43" s="9" t="s">
        <v>156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24"/>
      <c r="AR43" s="25"/>
      <c r="AS43" s="24"/>
      <c r="AT43" s="25"/>
      <c r="AU43" s="25"/>
      <c r="AV43" s="18"/>
      <c r="AW43" s="18"/>
      <c r="AX43" s="18"/>
    </row>
    <row r="44" customHeight="1" spans="1:50">
      <c r="A44" s="11"/>
      <c r="B44" s="11"/>
      <c r="C44" s="11"/>
      <c r="D44" s="9" t="s">
        <v>129</v>
      </c>
      <c r="E44" s="17"/>
      <c r="F44" s="18" t="s">
        <v>95</v>
      </c>
      <c r="G44" s="18" t="s">
        <v>136</v>
      </c>
      <c r="H44" s="9" t="s">
        <v>156</v>
      </c>
      <c r="I44" s="9">
        <v>0.534361</v>
      </c>
      <c r="J44" s="9">
        <v>0.510854</v>
      </c>
      <c r="K44" s="9">
        <v>0.486763</v>
      </c>
      <c r="L44" s="9">
        <v>0.551349</v>
      </c>
      <c r="M44" s="9">
        <v>0.542723</v>
      </c>
      <c r="N44" s="9">
        <v>0.533949</v>
      </c>
      <c r="O44" s="9">
        <v>0.511418</v>
      </c>
      <c r="P44" s="9">
        <v>0.517097</v>
      </c>
      <c r="Q44" s="9">
        <v>0.510567</v>
      </c>
      <c r="R44" s="9">
        <v>0.505831</v>
      </c>
      <c r="S44" s="9">
        <v>0.4643</v>
      </c>
      <c r="T44" s="9">
        <v>0.482504</v>
      </c>
      <c r="U44" s="9">
        <v>0.438985</v>
      </c>
      <c r="V44" s="9">
        <v>0.490231</v>
      </c>
      <c r="W44" s="9">
        <v>0.493019</v>
      </c>
      <c r="X44" s="9">
        <v>0.466383</v>
      </c>
      <c r="Y44" s="9">
        <v>0.305752</v>
      </c>
      <c r="Z44" s="9">
        <v>0.607134</v>
      </c>
      <c r="AA44" s="9">
        <v>0.570645</v>
      </c>
      <c r="AB44" s="9">
        <v>0.589908</v>
      </c>
      <c r="AC44" s="9">
        <v>0.625874</v>
      </c>
      <c r="AD44" s="9">
        <v>0.609208</v>
      </c>
      <c r="AE44" s="9">
        <v>0.597504</v>
      </c>
      <c r="AF44" s="9">
        <v>0.608465</v>
      </c>
      <c r="AG44" s="9">
        <v>0.585762</v>
      </c>
      <c r="AH44" s="9">
        <v>0.581518</v>
      </c>
      <c r="AI44" s="9">
        <v>0.597368</v>
      </c>
      <c r="AJ44" s="9">
        <v>0.633493</v>
      </c>
      <c r="AK44" s="9">
        <v>0.574219</v>
      </c>
      <c r="AL44" s="9">
        <v>0.525247</v>
      </c>
      <c r="AM44" s="9">
        <v>0.589482</v>
      </c>
      <c r="AN44" s="9">
        <v>0.612025</v>
      </c>
      <c r="AO44" s="9">
        <v>0.509906</v>
      </c>
      <c r="AP44" s="9">
        <v>0.47213</v>
      </c>
      <c r="AQ44" s="24">
        <f t="shared" ref="AQ44:AQ49" si="8">MIN(I44:Y44)</f>
        <v>0.305752</v>
      </c>
      <c r="AR44" s="25">
        <f>(AQ41-AQ44)/AQ41</f>
        <v>0.00988008536186491</v>
      </c>
      <c r="AS44" s="24">
        <f t="shared" ref="AS44:AS49" si="9">MIN(Z44:AP44)</f>
        <v>0.47213</v>
      </c>
      <c r="AT44" s="25">
        <f>(AS41-AS44)/AS41</f>
        <v>0.0435723271459508</v>
      </c>
      <c r="AU44" s="25"/>
      <c r="AV44" s="18"/>
      <c r="AW44" s="18"/>
      <c r="AX44" s="18"/>
    </row>
    <row r="45" customHeight="1" spans="1:50">
      <c r="A45" s="11"/>
      <c r="B45" s="11"/>
      <c r="C45" s="11"/>
      <c r="D45" s="16" t="s">
        <v>129</v>
      </c>
      <c r="E45" s="122" t="s">
        <v>244</v>
      </c>
      <c r="F45" s="16" t="s">
        <v>78</v>
      </c>
      <c r="G45" s="9" t="s">
        <v>131</v>
      </c>
      <c r="H45" s="18" t="s">
        <v>158</v>
      </c>
      <c r="I45" s="9">
        <v>0.497831</v>
      </c>
      <c r="J45" s="9">
        <v>0.484422</v>
      </c>
      <c r="K45" s="9">
        <v>0.47185</v>
      </c>
      <c r="L45" s="9">
        <v>0.485093</v>
      </c>
      <c r="M45" s="9">
        <v>0.443771</v>
      </c>
      <c r="N45" s="9">
        <v>0.507912</v>
      </c>
      <c r="O45" s="9">
        <v>0.476473</v>
      </c>
      <c r="P45" s="9">
        <v>0.46853</v>
      </c>
      <c r="Q45" s="9">
        <v>0.419674</v>
      </c>
      <c r="R45" s="9">
        <v>0.525851</v>
      </c>
      <c r="S45" s="9">
        <v>0.41793</v>
      </c>
      <c r="T45" s="9">
        <v>0.481608</v>
      </c>
      <c r="U45" s="9">
        <v>0.435663</v>
      </c>
      <c r="V45" s="9">
        <v>0.522832</v>
      </c>
      <c r="W45" s="9">
        <v>0.396027</v>
      </c>
      <c r="X45" s="9">
        <v>0.442099</v>
      </c>
      <c r="Y45" s="9">
        <v>0.380996</v>
      </c>
      <c r="Z45" s="9">
        <v>0.563943</v>
      </c>
      <c r="AA45" s="9">
        <v>0.596684</v>
      </c>
      <c r="AB45" s="9">
        <v>0.618012</v>
      </c>
      <c r="AC45" s="9">
        <v>0.573187</v>
      </c>
      <c r="AD45" s="9">
        <v>0.519083</v>
      </c>
      <c r="AE45" s="9">
        <v>0.583795</v>
      </c>
      <c r="AF45" s="9">
        <v>0.62898</v>
      </c>
      <c r="AG45" s="9">
        <v>0.563003</v>
      </c>
      <c r="AH45" s="9">
        <v>0.495173</v>
      </c>
      <c r="AI45" s="9">
        <v>0.58741</v>
      </c>
      <c r="AJ45" s="9">
        <v>0.579351</v>
      </c>
      <c r="AK45" s="9">
        <v>0.54842</v>
      </c>
      <c r="AL45" s="9">
        <v>0.477166</v>
      </c>
      <c r="AM45" s="9">
        <v>0.575089</v>
      </c>
      <c r="AN45" s="9">
        <v>0.584865</v>
      </c>
      <c r="AO45" s="9">
        <v>0.505788</v>
      </c>
      <c r="AP45" s="9">
        <v>0.387819</v>
      </c>
      <c r="AQ45" s="24">
        <f t="shared" si="8"/>
        <v>0.380996</v>
      </c>
      <c r="AR45" s="25"/>
      <c r="AS45" s="24">
        <f t="shared" si="9"/>
        <v>0.387819</v>
      </c>
      <c r="AT45" s="25"/>
      <c r="AU45" s="124"/>
      <c r="AV45" s="124"/>
      <c r="AW45" s="124"/>
      <c r="AX45" s="124"/>
    </row>
    <row r="46" customHeight="1" spans="1:50">
      <c r="A46" s="11"/>
      <c r="B46" s="11"/>
      <c r="C46" s="11"/>
      <c r="D46" s="16"/>
      <c r="E46" s="122"/>
      <c r="F46" s="16" t="s">
        <v>143</v>
      </c>
      <c r="G46" s="9" t="s">
        <v>131</v>
      </c>
      <c r="H46" s="18" t="s">
        <v>158</v>
      </c>
      <c r="I46" s="9">
        <v>0.476228</v>
      </c>
      <c r="J46" s="9">
        <v>0.473844</v>
      </c>
      <c r="K46" s="9">
        <v>0.467792</v>
      </c>
      <c r="L46" s="9">
        <v>0.473945</v>
      </c>
      <c r="M46" s="9">
        <v>0.42927</v>
      </c>
      <c r="N46" s="9">
        <v>0.491483</v>
      </c>
      <c r="O46" s="9">
        <v>0.476456</v>
      </c>
      <c r="P46" s="9">
        <v>0.443719</v>
      </c>
      <c r="Q46" s="9">
        <v>0.403404</v>
      </c>
      <c r="R46" s="9">
        <v>0.508092</v>
      </c>
      <c r="S46" s="9">
        <v>0.39052</v>
      </c>
      <c r="T46" s="9">
        <v>0.458229</v>
      </c>
      <c r="U46" s="9">
        <v>0.382777</v>
      </c>
      <c r="V46" s="9">
        <v>0.503954</v>
      </c>
      <c r="W46" s="9">
        <v>0.468216</v>
      </c>
      <c r="X46" s="9">
        <v>0.3675</v>
      </c>
      <c r="Y46" s="9">
        <v>0.339846</v>
      </c>
      <c r="Z46" s="9">
        <v>0.560905</v>
      </c>
      <c r="AA46" s="9">
        <v>0.582227</v>
      </c>
      <c r="AB46" s="9">
        <v>0.581094</v>
      </c>
      <c r="AC46" s="9">
        <v>0.58006</v>
      </c>
      <c r="AD46" s="9">
        <v>0.514132</v>
      </c>
      <c r="AE46" s="9">
        <v>0.584977</v>
      </c>
      <c r="AF46" s="9">
        <v>0.617483</v>
      </c>
      <c r="AG46" s="9">
        <v>0.5582</v>
      </c>
      <c r="AH46" s="9">
        <v>0.47362</v>
      </c>
      <c r="AI46" s="9">
        <v>0.579602</v>
      </c>
      <c r="AJ46" s="9">
        <v>0.619524</v>
      </c>
      <c r="AK46" s="9">
        <v>0.545931</v>
      </c>
      <c r="AL46" s="9">
        <v>0.442045</v>
      </c>
      <c r="AM46" s="9">
        <v>0.563836</v>
      </c>
      <c r="AN46" s="9">
        <v>0.61666</v>
      </c>
      <c r="AO46" s="9">
        <v>0.465102</v>
      </c>
      <c r="AP46" s="9">
        <v>0.383674</v>
      </c>
      <c r="AQ46" s="24">
        <f t="shared" si="8"/>
        <v>0.339846</v>
      </c>
      <c r="AR46" s="25">
        <f>(AQ45-AQ46)/AQ45</f>
        <v>0.108006383269116</v>
      </c>
      <c r="AS46" s="24">
        <f t="shared" si="9"/>
        <v>0.383674</v>
      </c>
      <c r="AT46" s="25">
        <f>(AS45-AS46)/AS45</f>
        <v>0.0106879755762353</v>
      </c>
      <c r="AU46" s="125"/>
      <c r="AV46" s="125"/>
      <c r="AW46" s="125"/>
      <c r="AX46" s="125"/>
    </row>
    <row r="47" customHeight="1" spans="1:50">
      <c r="A47" s="11"/>
      <c r="B47" s="11"/>
      <c r="C47" s="11"/>
      <c r="D47" s="16"/>
      <c r="E47" s="122"/>
      <c r="F47" s="16" t="s">
        <v>159</v>
      </c>
      <c r="G47" s="9" t="s">
        <v>131</v>
      </c>
      <c r="H47" s="18" t="s">
        <v>158</v>
      </c>
      <c r="I47" s="123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24"/>
      <c r="AR47" s="25"/>
      <c r="AS47" s="24"/>
      <c r="AT47" s="25"/>
      <c r="AU47" s="125"/>
      <c r="AV47" s="125"/>
      <c r="AW47" s="125"/>
      <c r="AX47" s="125"/>
    </row>
    <row r="48" customHeight="1" spans="1:50">
      <c r="A48" s="11"/>
      <c r="B48" s="11"/>
      <c r="C48" s="11"/>
      <c r="D48" s="16"/>
      <c r="E48" s="122"/>
      <c r="F48" s="16" t="s">
        <v>160</v>
      </c>
      <c r="G48" s="9" t="s">
        <v>131</v>
      </c>
      <c r="H48" s="18" t="s">
        <v>158</v>
      </c>
      <c r="I48" s="123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24"/>
      <c r="AR48" s="25"/>
      <c r="AS48" s="24"/>
      <c r="AT48" s="25"/>
      <c r="AU48" s="125"/>
      <c r="AV48" s="125"/>
      <c r="AW48" s="125"/>
      <c r="AX48" s="125"/>
    </row>
    <row r="49" customHeight="1" spans="1:50">
      <c r="A49" s="11"/>
      <c r="B49" s="11"/>
      <c r="C49" s="11"/>
      <c r="D49" s="16"/>
      <c r="E49" s="122"/>
      <c r="F49" s="16" t="s">
        <v>161</v>
      </c>
      <c r="G49" s="9" t="s">
        <v>131</v>
      </c>
      <c r="H49" s="18" t="s">
        <v>158</v>
      </c>
      <c r="I49" s="123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24"/>
      <c r="AR49" s="25"/>
      <c r="AS49" s="24"/>
      <c r="AT49" s="25"/>
      <c r="AU49" s="125"/>
      <c r="AV49" s="125"/>
      <c r="AW49" s="125"/>
      <c r="AX49" s="125"/>
    </row>
    <row r="50" customHeight="1" spans="1:50">
      <c r="A50" s="11"/>
      <c r="B50" s="11"/>
      <c r="C50" s="11"/>
      <c r="D50" s="16"/>
      <c r="E50" s="122"/>
      <c r="F50" s="16" t="s">
        <v>162</v>
      </c>
      <c r="G50" s="9" t="s">
        <v>131</v>
      </c>
      <c r="H50" s="18" t="s">
        <v>158</v>
      </c>
      <c r="I50" s="123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24"/>
      <c r="AR50" s="25"/>
      <c r="AS50" s="24"/>
      <c r="AT50" s="25"/>
      <c r="AU50" s="126"/>
      <c r="AV50" s="126"/>
      <c r="AW50" s="126"/>
      <c r="AX50" s="125"/>
    </row>
    <row r="51" customHeight="1" spans="1:50">
      <c r="A51" s="11"/>
      <c r="B51" s="11"/>
      <c r="C51" s="11"/>
      <c r="D51" s="16" t="s">
        <v>129</v>
      </c>
      <c r="E51" s="122"/>
      <c r="F51" s="16" t="s">
        <v>78</v>
      </c>
      <c r="G51" s="16" t="s">
        <v>134</v>
      </c>
      <c r="H51" s="9" t="s">
        <v>163</v>
      </c>
      <c r="I51" s="9">
        <v>0.528587</v>
      </c>
      <c r="J51" s="9">
        <v>0.520205</v>
      </c>
      <c r="K51" s="9">
        <v>0.454237</v>
      </c>
      <c r="L51" s="9">
        <v>0.507818</v>
      </c>
      <c r="M51" s="9">
        <v>0.478275</v>
      </c>
      <c r="N51" s="9">
        <v>0.514443</v>
      </c>
      <c r="O51" s="9">
        <v>0.497067</v>
      </c>
      <c r="P51" s="9">
        <v>0.523115</v>
      </c>
      <c r="Q51" s="9">
        <v>0.440287</v>
      </c>
      <c r="R51" s="9">
        <v>0.505627</v>
      </c>
      <c r="S51" s="9">
        <v>0.467706</v>
      </c>
      <c r="T51" s="9">
        <v>0.493609</v>
      </c>
      <c r="U51" s="9">
        <v>0.416388</v>
      </c>
      <c r="V51" s="9">
        <v>0.494763</v>
      </c>
      <c r="W51" s="9">
        <v>0.47264</v>
      </c>
      <c r="X51" s="9">
        <v>0.467484</v>
      </c>
      <c r="Y51" s="9">
        <v>0.371024</v>
      </c>
      <c r="Z51" s="9">
        <v>0.546123</v>
      </c>
      <c r="AA51" s="9">
        <v>0.542199</v>
      </c>
      <c r="AB51" s="9">
        <v>0.576172</v>
      </c>
      <c r="AC51" s="9">
        <v>0.576559</v>
      </c>
      <c r="AD51" s="9">
        <v>0.497019</v>
      </c>
      <c r="AE51" s="9">
        <v>0.541366</v>
      </c>
      <c r="AF51" s="9">
        <v>0.582782</v>
      </c>
      <c r="AG51" s="9">
        <v>0.550168</v>
      </c>
      <c r="AH51" s="9">
        <v>0.408464</v>
      </c>
      <c r="AI51" s="9">
        <v>0.517971</v>
      </c>
      <c r="AJ51" s="9">
        <v>0.493457</v>
      </c>
      <c r="AK51" s="9">
        <v>0.51346</v>
      </c>
      <c r="AL51" s="9">
        <v>0.42345</v>
      </c>
      <c r="AM51" s="9">
        <v>0.478983</v>
      </c>
      <c r="AN51" s="9">
        <v>0.537093</v>
      </c>
      <c r="AO51" s="9">
        <v>0.429084</v>
      </c>
      <c r="AP51" s="9">
        <v>0.352582</v>
      </c>
      <c r="AQ51" s="24">
        <f t="shared" ref="AQ51:AQ53" si="10">MIN(I51:Y51)</f>
        <v>0.371024</v>
      </c>
      <c r="AR51" s="25"/>
      <c r="AS51" s="24">
        <f>MIN(Z51:AP51)</f>
        <v>0.352582</v>
      </c>
      <c r="AT51" s="25"/>
      <c r="AU51" s="124"/>
      <c r="AV51" s="124"/>
      <c r="AW51" s="124"/>
      <c r="AX51" s="125"/>
    </row>
    <row r="52" customHeight="1" spans="1:50">
      <c r="A52" s="11"/>
      <c r="B52" s="11"/>
      <c r="C52" s="11"/>
      <c r="D52" s="16"/>
      <c r="E52" s="122"/>
      <c r="F52" s="16" t="s">
        <v>143</v>
      </c>
      <c r="G52" s="16" t="s">
        <v>134</v>
      </c>
      <c r="H52" s="18" t="s">
        <v>163</v>
      </c>
      <c r="I52" s="9">
        <v>0.435583</v>
      </c>
      <c r="J52" s="9">
        <v>0.456118</v>
      </c>
      <c r="K52" s="9">
        <v>0.443225</v>
      </c>
      <c r="L52" s="9">
        <v>0.470161</v>
      </c>
      <c r="M52" s="9">
        <v>0.472475</v>
      </c>
      <c r="N52" s="9">
        <v>0.514079</v>
      </c>
      <c r="O52" s="9">
        <v>0.484488</v>
      </c>
      <c r="P52" s="9">
        <v>0.446243</v>
      </c>
      <c r="Q52" s="9">
        <v>0.396467</v>
      </c>
      <c r="R52" s="9">
        <v>0.465958</v>
      </c>
      <c r="S52" s="9">
        <v>0.388192</v>
      </c>
      <c r="T52" s="9">
        <v>0.454657</v>
      </c>
      <c r="U52" s="9">
        <v>0.369613</v>
      </c>
      <c r="V52" s="9">
        <v>0.452444</v>
      </c>
      <c r="W52" s="9">
        <v>0.482912</v>
      </c>
      <c r="X52" s="9">
        <v>0.370992</v>
      </c>
      <c r="Y52" s="9">
        <v>0.349079</v>
      </c>
      <c r="Z52" s="9">
        <v>0.505996</v>
      </c>
      <c r="AA52" s="9">
        <v>0.497848</v>
      </c>
      <c r="AB52" s="9">
        <v>0.551765</v>
      </c>
      <c r="AC52" s="9">
        <v>0.554847</v>
      </c>
      <c r="AD52" s="9">
        <v>0.492383</v>
      </c>
      <c r="AE52" s="9">
        <v>0.529674</v>
      </c>
      <c r="AF52" s="9">
        <v>0.557816</v>
      </c>
      <c r="AG52" s="9">
        <v>0.527396</v>
      </c>
      <c r="AH52" s="9">
        <v>0.387807</v>
      </c>
      <c r="AI52" s="9">
        <v>0.476942</v>
      </c>
      <c r="AJ52" s="9">
        <v>0.483326</v>
      </c>
      <c r="AK52" s="9">
        <v>0.502371</v>
      </c>
      <c r="AL52" s="9">
        <v>0.387321</v>
      </c>
      <c r="AM52" s="9">
        <v>0.455014</v>
      </c>
      <c r="AN52" s="9">
        <v>0.507575</v>
      </c>
      <c r="AO52" s="9">
        <v>0.39228</v>
      </c>
      <c r="AP52" s="9">
        <v>0.323334</v>
      </c>
      <c r="AQ52" s="24">
        <f t="shared" si="10"/>
        <v>0.349079</v>
      </c>
      <c r="AR52" s="25">
        <f>(AQ51-AQ52)/AQ51</f>
        <v>0.0591471171676227</v>
      </c>
      <c r="AS52" s="24">
        <f>MIN(Z52:AP52)</f>
        <v>0.323334</v>
      </c>
      <c r="AT52" s="25">
        <f>(AS51-AS52)/AS51</f>
        <v>0.0829537526022315</v>
      </c>
      <c r="AU52" s="125"/>
      <c r="AV52" s="125"/>
      <c r="AW52" s="125"/>
      <c r="AX52" s="125"/>
    </row>
    <row r="53" customHeight="1" spans="1:50">
      <c r="A53" s="11"/>
      <c r="B53" s="11"/>
      <c r="C53" s="11"/>
      <c r="D53" s="16"/>
      <c r="E53" s="122"/>
      <c r="F53" s="16" t="s">
        <v>159</v>
      </c>
      <c r="G53" s="16" t="s">
        <v>134</v>
      </c>
      <c r="H53" s="18" t="s">
        <v>163</v>
      </c>
      <c r="I53" s="123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24"/>
      <c r="AR53" s="25"/>
      <c r="AS53" s="24"/>
      <c r="AT53" s="25"/>
      <c r="AU53" s="125"/>
      <c r="AV53" s="125"/>
      <c r="AW53" s="125"/>
      <c r="AX53" s="125"/>
    </row>
    <row r="54" customHeight="1" spans="1:50">
      <c r="A54" s="11"/>
      <c r="B54" s="11"/>
      <c r="C54" s="11"/>
      <c r="D54" s="16"/>
      <c r="E54" s="122"/>
      <c r="F54" s="16" t="s">
        <v>160</v>
      </c>
      <c r="G54" s="16" t="s">
        <v>134</v>
      </c>
      <c r="H54" s="18" t="s">
        <v>163</v>
      </c>
      <c r="I54" s="123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24"/>
      <c r="AR54" s="25"/>
      <c r="AS54" s="24"/>
      <c r="AT54" s="25"/>
      <c r="AU54" s="125"/>
      <c r="AV54" s="125"/>
      <c r="AW54" s="125"/>
      <c r="AX54" s="125"/>
    </row>
    <row r="55" customHeight="1" spans="1:50">
      <c r="A55" s="11"/>
      <c r="B55" s="11"/>
      <c r="C55" s="11"/>
      <c r="D55" s="16"/>
      <c r="E55" s="122"/>
      <c r="F55" s="16" t="s">
        <v>161</v>
      </c>
      <c r="G55" s="16" t="s">
        <v>134</v>
      </c>
      <c r="H55" s="18" t="s">
        <v>163</v>
      </c>
      <c r="I55" s="123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24"/>
      <c r="AR55" s="25"/>
      <c r="AS55" s="24"/>
      <c r="AT55" s="25"/>
      <c r="AU55" s="125"/>
      <c r="AV55" s="125"/>
      <c r="AW55" s="125"/>
      <c r="AX55" s="125"/>
    </row>
    <row r="56" customHeight="1" spans="1:50">
      <c r="A56" s="11"/>
      <c r="B56" s="11"/>
      <c r="C56" s="11"/>
      <c r="D56" s="16"/>
      <c r="E56" s="122"/>
      <c r="F56" s="16" t="s">
        <v>162</v>
      </c>
      <c r="G56" s="16" t="s">
        <v>134</v>
      </c>
      <c r="H56" s="18" t="s">
        <v>163</v>
      </c>
      <c r="I56" s="123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24"/>
      <c r="AR56" s="25"/>
      <c r="AS56" s="24"/>
      <c r="AT56" s="25"/>
      <c r="AU56" s="126"/>
      <c r="AV56" s="126"/>
      <c r="AW56" s="126"/>
      <c r="AX56" s="125"/>
    </row>
    <row r="57" customHeight="1" spans="1:50">
      <c r="A57" s="11"/>
      <c r="B57" s="11"/>
      <c r="C57" s="11"/>
      <c r="D57" s="16" t="s">
        <v>129</v>
      </c>
      <c r="E57" s="122"/>
      <c r="F57" s="16" t="s">
        <v>78</v>
      </c>
      <c r="G57" s="18" t="s">
        <v>136</v>
      </c>
      <c r="H57" s="16" t="s">
        <v>164</v>
      </c>
      <c r="I57" s="9">
        <v>0.543994</v>
      </c>
      <c r="J57" s="9">
        <v>0.512814</v>
      </c>
      <c r="K57" s="9">
        <v>0.503509</v>
      </c>
      <c r="L57" s="9">
        <v>0.521291</v>
      </c>
      <c r="M57" s="9">
        <v>0.56361</v>
      </c>
      <c r="N57" s="9">
        <v>0.502537</v>
      </c>
      <c r="O57" s="9">
        <v>0.552501</v>
      </c>
      <c r="P57" s="9">
        <v>0.531918</v>
      </c>
      <c r="Q57" s="9">
        <v>0.505066</v>
      </c>
      <c r="R57" s="9">
        <v>0.477409</v>
      </c>
      <c r="S57" s="9">
        <v>0.550979</v>
      </c>
      <c r="T57" s="9">
        <v>0.526154</v>
      </c>
      <c r="U57" s="9">
        <v>0.465922</v>
      </c>
      <c r="V57" s="9">
        <v>0.47493</v>
      </c>
      <c r="W57" s="9">
        <v>0.51196</v>
      </c>
      <c r="X57" s="9">
        <v>0.506991</v>
      </c>
      <c r="Y57" s="9">
        <v>0.41001</v>
      </c>
      <c r="Z57" s="9">
        <v>0.572369</v>
      </c>
      <c r="AA57" s="9">
        <v>0.594116</v>
      </c>
      <c r="AB57" s="9">
        <v>0.605951</v>
      </c>
      <c r="AC57" s="9">
        <v>0.591527</v>
      </c>
      <c r="AD57" s="9">
        <v>0.586587</v>
      </c>
      <c r="AE57" s="9">
        <v>0.607591</v>
      </c>
      <c r="AF57" s="9">
        <v>0.656014</v>
      </c>
      <c r="AG57" s="9">
        <v>0.586799</v>
      </c>
      <c r="AH57" s="9">
        <v>0.522042</v>
      </c>
      <c r="AI57" s="9">
        <v>0.567628</v>
      </c>
      <c r="AJ57" s="9">
        <v>0.609225</v>
      </c>
      <c r="AK57" s="9">
        <v>0.56631</v>
      </c>
      <c r="AL57" s="9">
        <v>0.410059</v>
      </c>
      <c r="AM57" s="9">
        <v>0.582493</v>
      </c>
      <c r="AN57" s="9">
        <v>0.625754</v>
      </c>
      <c r="AO57" s="9">
        <v>0.513921</v>
      </c>
      <c r="AP57" s="9">
        <v>0.39019</v>
      </c>
      <c r="AQ57" s="24">
        <f t="shared" ref="AQ56:AQ58" si="11">MIN(I57:Y57)</f>
        <v>0.41001</v>
      </c>
      <c r="AR57" s="25"/>
      <c r="AS57" s="24">
        <f>MIN(Z57:AP57)</f>
        <v>0.39019</v>
      </c>
      <c r="AT57" s="25"/>
      <c r="AU57" s="124"/>
      <c r="AV57" s="124"/>
      <c r="AW57" s="124"/>
      <c r="AX57" s="125"/>
    </row>
    <row r="58" customHeight="1" spans="1:50">
      <c r="A58" s="11"/>
      <c r="B58" s="11"/>
      <c r="C58" s="11"/>
      <c r="D58" s="16"/>
      <c r="E58" s="122"/>
      <c r="F58" s="16" t="s">
        <v>143</v>
      </c>
      <c r="G58" s="18" t="s">
        <v>136</v>
      </c>
      <c r="H58" s="16" t="s">
        <v>164</v>
      </c>
      <c r="I58" s="9">
        <v>0.515205</v>
      </c>
      <c r="J58" s="9">
        <v>0.502591</v>
      </c>
      <c r="K58" s="9">
        <v>0.53658</v>
      </c>
      <c r="L58" s="9">
        <v>0.566414</v>
      </c>
      <c r="M58" s="9">
        <v>0.552062</v>
      </c>
      <c r="N58" s="9">
        <v>0.521221</v>
      </c>
      <c r="O58" s="9">
        <v>0.526117</v>
      </c>
      <c r="P58" s="9">
        <v>0.540581</v>
      </c>
      <c r="Q58" s="9">
        <v>0.478612</v>
      </c>
      <c r="R58" s="9">
        <v>0.479646</v>
      </c>
      <c r="S58" s="9">
        <v>0.492739</v>
      </c>
      <c r="T58" s="9">
        <v>0.487223</v>
      </c>
      <c r="U58" s="9">
        <v>0.403532</v>
      </c>
      <c r="V58" s="9">
        <v>0.440197</v>
      </c>
      <c r="W58" s="9">
        <v>0.517371</v>
      </c>
      <c r="X58" s="9">
        <v>0.410977</v>
      </c>
      <c r="Y58" s="9">
        <v>0.391282</v>
      </c>
      <c r="Z58" s="9">
        <v>0.549779</v>
      </c>
      <c r="AA58" s="9">
        <v>0.555854</v>
      </c>
      <c r="AB58" s="9">
        <v>0.592576</v>
      </c>
      <c r="AC58" s="9">
        <v>0.574085</v>
      </c>
      <c r="AD58" s="9">
        <v>0.565056</v>
      </c>
      <c r="AE58" s="9">
        <v>0.593225</v>
      </c>
      <c r="AF58" s="9">
        <v>0.594023</v>
      </c>
      <c r="AG58" s="9">
        <v>0.556283</v>
      </c>
      <c r="AH58" s="9">
        <v>0.503184</v>
      </c>
      <c r="AI58" s="9">
        <v>0.568144</v>
      </c>
      <c r="AJ58" s="9">
        <v>0.58536</v>
      </c>
      <c r="AK58" s="9">
        <v>0.547125</v>
      </c>
      <c r="AL58" s="9">
        <v>0.365746</v>
      </c>
      <c r="AM58" s="9">
        <v>0.545905</v>
      </c>
      <c r="AN58" s="9">
        <v>0.59707</v>
      </c>
      <c r="AO58" s="9">
        <v>0.420957</v>
      </c>
      <c r="AP58" s="9">
        <v>0.364909</v>
      </c>
      <c r="AQ58" s="24">
        <f t="shared" si="11"/>
        <v>0.391282</v>
      </c>
      <c r="AR58" s="25">
        <f>(AQ57-AQ58)/AQ57</f>
        <v>0.0456769347089095</v>
      </c>
      <c r="AS58" s="24">
        <f>MIN(Z58:AP58)</f>
        <v>0.364909</v>
      </c>
      <c r="AT58" s="25">
        <f>(AS57-AS58)/AS57</f>
        <v>0.0647915118275712</v>
      </c>
      <c r="AU58" s="125"/>
      <c r="AV58" s="125"/>
      <c r="AW58" s="125"/>
      <c r="AX58" s="125"/>
    </row>
    <row r="59" customHeight="1" spans="1:50">
      <c r="A59" s="11"/>
      <c r="B59" s="11"/>
      <c r="C59" s="11"/>
      <c r="D59" s="16"/>
      <c r="E59" s="122"/>
      <c r="F59" s="16" t="s">
        <v>159</v>
      </c>
      <c r="G59" s="18" t="s">
        <v>136</v>
      </c>
      <c r="H59" s="16" t="s">
        <v>164</v>
      </c>
      <c r="I59" s="12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25"/>
      <c r="AS59" s="11"/>
      <c r="AT59" s="25"/>
      <c r="AU59" s="125"/>
      <c r="AV59" s="125"/>
      <c r="AW59" s="125"/>
      <c r="AX59" s="125"/>
    </row>
    <row r="60" customHeight="1" spans="1:50">
      <c r="A60" s="11"/>
      <c r="B60" s="11"/>
      <c r="C60" s="11"/>
      <c r="D60" s="16"/>
      <c r="E60" s="122"/>
      <c r="F60" s="16" t="s">
        <v>160</v>
      </c>
      <c r="G60" s="18" t="s">
        <v>136</v>
      </c>
      <c r="H60" s="16" t="s">
        <v>164</v>
      </c>
      <c r="I60" s="12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25"/>
      <c r="AS60" s="11"/>
      <c r="AT60" s="25"/>
      <c r="AU60" s="125"/>
      <c r="AV60" s="125"/>
      <c r="AW60" s="125"/>
      <c r="AX60" s="125"/>
    </row>
    <row r="61" customHeight="1" spans="1:50">
      <c r="A61" s="11"/>
      <c r="B61" s="11"/>
      <c r="C61" s="11"/>
      <c r="D61" s="16"/>
      <c r="E61" s="122"/>
      <c r="F61" s="16" t="s">
        <v>161</v>
      </c>
      <c r="G61" s="18" t="s">
        <v>136</v>
      </c>
      <c r="H61" s="16" t="s">
        <v>164</v>
      </c>
      <c r="I61" s="12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25"/>
      <c r="AS61" s="11"/>
      <c r="AT61" s="25"/>
      <c r="AU61" s="125"/>
      <c r="AV61" s="125"/>
      <c r="AW61" s="125"/>
      <c r="AX61" s="125"/>
    </row>
    <row r="62" customHeight="1" spans="1:50">
      <c r="A62" s="11"/>
      <c r="B62" s="11"/>
      <c r="C62" s="11"/>
      <c r="D62" s="16"/>
      <c r="E62" s="122"/>
      <c r="F62" s="16" t="s">
        <v>162</v>
      </c>
      <c r="G62" s="18" t="s">
        <v>136</v>
      </c>
      <c r="H62" s="16" t="s">
        <v>164</v>
      </c>
      <c r="I62" s="12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25"/>
      <c r="AS62" s="11"/>
      <c r="AT62" s="25"/>
      <c r="AU62" s="126"/>
      <c r="AV62" s="126"/>
      <c r="AW62" s="126"/>
      <c r="AX62" s="126"/>
    </row>
  </sheetData>
  <autoFilter ref="A2:XFD62">
    <extLst/>
  </autoFilter>
  <mergeCells count="64">
    <mergeCell ref="A1:D1"/>
    <mergeCell ref="E1:H1"/>
    <mergeCell ref="I1:Y1"/>
    <mergeCell ref="Z1:AP1"/>
    <mergeCell ref="AQ1:AT1"/>
    <mergeCell ref="AV1:AX1"/>
    <mergeCell ref="D45:D50"/>
    <mergeCell ref="D51:D56"/>
    <mergeCell ref="D57:D62"/>
    <mergeCell ref="E3:E14"/>
    <mergeCell ref="E15:E26"/>
    <mergeCell ref="E27:E32"/>
    <mergeCell ref="E33:E44"/>
    <mergeCell ref="E45:E62"/>
    <mergeCell ref="AU3:AU6"/>
    <mergeCell ref="AU7:AU10"/>
    <mergeCell ref="AU11:AU14"/>
    <mergeCell ref="AU15:AU18"/>
    <mergeCell ref="AU19:AU22"/>
    <mergeCell ref="AU23:AU26"/>
    <mergeCell ref="AU27:AU28"/>
    <mergeCell ref="AU29:AU30"/>
    <mergeCell ref="AU31:AU32"/>
    <mergeCell ref="AU33:AU36"/>
    <mergeCell ref="AU37:AU40"/>
    <mergeCell ref="AU41:AU44"/>
    <mergeCell ref="AU45:AU50"/>
    <mergeCell ref="AU51:AU56"/>
    <mergeCell ref="AU57:AU62"/>
    <mergeCell ref="AV3:AV6"/>
    <mergeCell ref="AV7:AV10"/>
    <mergeCell ref="AV11:AV14"/>
    <mergeCell ref="AV15:AV18"/>
    <mergeCell ref="AV19:AV22"/>
    <mergeCell ref="AV23:AV26"/>
    <mergeCell ref="AV27:AV28"/>
    <mergeCell ref="AV29:AV30"/>
    <mergeCell ref="AV31:AV32"/>
    <mergeCell ref="AV33:AV36"/>
    <mergeCell ref="AV37:AV40"/>
    <mergeCell ref="AV41:AV44"/>
    <mergeCell ref="AV45:AV50"/>
    <mergeCell ref="AV51:AV56"/>
    <mergeCell ref="AV57:AV62"/>
    <mergeCell ref="AW3:AW6"/>
    <mergeCell ref="AW7:AW10"/>
    <mergeCell ref="AW11:AW14"/>
    <mergeCell ref="AW15:AW18"/>
    <mergeCell ref="AW19:AW22"/>
    <mergeCell ref="AW23:AW26"/>
    <mergeCell ref="AW27:AW28"/>
    <mergeCell ref="AW29:AW30"/>
    <mergeCell ref="AW31:AW32"/>
    <mergeCell ref="AW33:AW36"/>
    <mergeCell ref="AW37:AW40"/>
    <mergeCell ref="AW41:AW44"/>
    <mergeCell ref="AW45:AW50"/>
    <mergeCell ref="AW51:AW56"/>
    <mergeCell ref="AW57:AW62"/>
    <mergeCell ref="AX3:AX14"/>
    <mergeCell ref="AX15:AX26"/>
    <mergeCell ref="AX27:AX32"/>
    <mergeCell ref="AX33:AX44"/>
    <mergeCell ref="AX45:AX62"/>
  </mergeCells>
  <conditionalFormatting sqref="H3">
    <cfRule type="duplicateValues" dxfId="7" priority="176"/>
    <cfRule type="duplicateValues" dxfId="5" priority="175"/>
  </conditionalFormatting>
  <conditionalFormatting sqref="AU3">
    <cfRule type="duplicateValues" dxfId="7" priority="67"/>
    <cfRule type="duplicateValues" dxfId="5" priority="66"/>
  </conditionalFormatting>
  <conditionalFormatting sqref="H4">
    <cfRule type="duplicateValues" dxfId="7" priority="174"/>
    <cfRule type="duplicateValues" dxfId="5" priority="173"/>
  </conditionalFormatting>
  <conditionalFormatting sqref="AR4">
    <cfRule type="cellIs" dxfId="8" priority="89" operator="greaterThan">
      <formula>0.3</formula>
    </cfRule>
  </conditionalFormatting>
  <conditionalFormatting sqref="H5">
    <cfRule type="duplicateValues" dxfId="7" priority="172"/>
    <cfRule type="duplicateValues" dxfId="5" priority="171"/>
  </conditionalFormatting>
  <conditionalFormatting sqref="AR5">
    <cfRule type="cellIs" dxfId="8" priority="90" operator="greaterThan">
      <formula>0.3</formula>
    </cfRule>
  </conditionalFormatting>
  <conditionalFormatting sqref="H6">
    <cfRule type="duplicateValues" dxfId="7" priority="170"/>
    <cfRule type="duplicateValues" dxfId="5" priority="169"/>
  </conditionalFormatting>
  <conditionalFormatting sqref="AT6">
    <cfRule type="cellIs" dxfId="8" priority="179" operator="greaterThan">
      <formula>0.3</formula>
    </cfRule>
  </conditionalFormatting>
  <conditionalFormatting sqref="H7">
    <cfRule type="duplicateValues" dxfId="7" priority="148"/>
    <cfRule type="duplicateValues" dxfId="5" priority="147"/>
  </conditionalFormatting>
  <conditionalFormatting sqref="AT7">
    <cfRule type="cellIs" dxfId="8" priority="193" operator="greaterThan">
      <formula>0.3</formula>
    </cfRule>
  </conditionalFormatting>
  <conditionalFormatting sqref="AU7">
    <cfRule type="duplicateValues" dxfId="7" priority="65"/>
    <cfRule type="duplicateValues" dxfId="5" priority="64"/>
  </conditionalFormatting>
  <conditionalFormatting sqref="H8">
    <cfRule type="duplicateValues" dxfId="7" priority="144"/>
    <cfRule type="duplicateValues" dxfId="5" priority="143"/>
  </conditionalFormatting>
  <conditionalFormatting sqref="AR8">
    <cfRule type="cellIs" dxfId="8" priority="87" operator="greaterThan">
      <formula>0.3</formula>
    </cfRule>
  </conditionalFormatting>
  <conditionalFormatting sqref="AT8">
    <cfRule type="cellIs" dxfId="8" priority="85" operator="greaterThan">
      <formula>0.3</formula>
    </cfRule>
  </conditionalFormatting>
  <conditionalFormatting sqref="H9">
    <cfRule type="duplicateValues" dxfId="7" priority="146"/>
    <cfRule type="duplicateValues" dxfId="5" priority="145"/>
  </conditionalFormatting>
  <conditionalFormatting sqref="AR9">
    <cfRule type="cellIs" dxfId="8" priority="88" operator="greaterThan">
      <formula>0.3</formula>
    </cfRule>
  </conditionalFormatting>
  <conditionalFormatting sqref="AT9">
    <cfRule type="cellIs" dxfId="8" priority="86" operator="greaterThan">
      <formula>0.3</formula>
    </cfRule>
  </conditionalFormatting>
  <conditionalFormatting sqref="H10">
    <cfRule type="duplicateValues" dxfId="7" priority="150"/>
    <cfRule type="duplicateValues" dxfId="5" priority="149"/>
  </conditionalFormatting>
  <conditionalFormatting sqref="AT10">
    <cfRule type="cellIs" dxfId="8" priority="178" operator="greaterThan">
      <formula>0.3</formula>
    </cfRule>
  </conditionalFormatting>
  <conditionalFormatting sqref="H11">
    <cfRule type="duplicateValues" dxfId="7" priority="166"/>
    <cfRule type="duplicateValues" dxfId="5" priority="165"/>
  </conditionalFormatting>
  <conditionalFormatting sqref="AT11">
    <cfRule type="cellIs" dxfId="8" priority="190" operator="greaterThan">
      <formula>0.3</formula>
    </cfRule>
  </conditionalFormatting>
  <conditionalFormatting sqref="AU11">
    <cfRule type="duplicateValues" dxfId="7" priority="63"/>
    <cfRule type="duplicateValues" dxfId="5" priority="62"/>
  </conditionalFormatting>
  <conditionalFormatting sqref="H12">
    <cfRule type="duplicateValues" dxfId="7" priority="164"/>
    <cfRule type="duplicateValues" dxfId="5" priority="163"/>
  </conditionalFormatting>
  <conditionalFormatting sqref="AR12">
    <cfRule type="cellIs" dxfId="8" priority="83" operator="greaterThan">
      <formula>0.3</formula>
    </cfRule>
  </conditionalFormatting>
  <conditionalFormatting sqref="H13">
    <cfRule type="duplicateValues" dxfId="7" priority="162"/>
    <cfRule type="duplicateValues" dxfId="5" priority="161"/>
  </conditionalFormatting>
  <conditionalFormatting sqref="AR13">
    <cfRule type="cellIs" dxfId="8" priority="84" operator="greaterThan">
      <formula>0.3</formula>
    </cfRule>
  </conditionalFormatting>
  <conditionalFormatting sqref="H14">
    <cfRule type="duplicateValues" dxfId="7" priority="160"/>
    <cfRule type="duplicateValues" dxfId="5" priority="159"/>
  </conditionalFormatting>
  <conditionalFormatting sqref="H15">
    <cfRule type="duplicateValues" dxfId="7" priority="156"/>
    <cfRule type="duplicateValues" dxfId="5" priority="155"/>
  </conditionalFormatting>
  <conditionalFormatting sqref="H16">
    <cfRule type="duplicateValues" dxfId="7" priority="154"/>
    <cfRule type="duplicateValues" dxfId="5" priority="153"/>
  </conditionalFormatting>
  <conditionalFormatting sqref="AR16">
    <cfRule type="cellIs" dxfId="8" priority="80" operator="greaterThan">
      <formula>0.3</formula>
    </cfRule>
  </conditionalFormatting>
  <conditionalFormatting sqref="H17">
    <cfRule type="duplicateValues" dxfId="7" priority="152"/>
    <cfRule type="duplicateValues" dxfId="5" priority="151"/>
  </conditionalFormatting>
  <conditionalFormatting sqref="AR17">
    <cfRule type="cellIs" dxfId="8" priority="81" operator="greaterThan">
      <formula>0.3</formula>
    </cfRule>
  </conditionalFormatting>
  <conditionalFormatting sqref="H18">
    <cfRule type="duplicateValues" dxfId="7" priority="158"/>
    <cfRule type="duplicateValues" dxfId="5" priority="157"/>
  </conditionalFormatting>
  <conditionalFormatting sqref="H19">
    <cfRule type="duplicateValues" dxfId="7" priority="142"/>
    <cfRule type="duplicateValues" dxfId="5" priority="141"/>
  </conditionalFormatting>
  <conditionalFormatting sqref="AU19">
    <cfRule type="cellIs" dxfId="8" priority="61" operator="greaterThan">
      <formula>0.3</formula>
    </cfRule>
  </conditionalFormatting>
  <conditionalFormatting sqref="H20">
    <cfRule type="duplicateValues" dxfId="7" priority="140"/>
    <cfRule type="duplicateValues" dxfId="5" priority="139"/>
  </conditionalFormatting>
  <conditionalFormatting sqref="AR20">
    <cfRule type="cellIs" dxfId="8" priority="75" operator="greaterThan">
      <formula>0.3</formula>
    </cfRule>
  </conditionalFormatting>
  <conditionalFormatting sqref="H21">
    <cfRule type="duplicateValues" dxfId="7" priority="138"/>
    <cfRule type="duplicateValues" dxfId="5" priority="137"/>
  </conditionalFormatting>
  <conditionalFormatting sqref="AR21">
    <cfRule type="cellIs" dxfId="8" priority="76" operator="greaterThan">
      <formula>0.3</formula>
    </cfRule>
  </conditionalFormatting>
  <conditionalFormatting sqref="H22">
    <cfRule type="duplicateValues" dxfId="7" priority="136"/>
    <cfRule type="duplicateValues" dxfId="5" priority="135"/>
  </conditionalFormatting>
  <conditionalFormatting sqref="AT22">
    <cfRule type="cellIs" dxfId="8" priority="78" operator="greaterThan">
      <formula>0.3</formula>
    </cfRule>
  </conditionalFormatting>
  <conditionalFormatting sqref="H23">
    <cfRule type="duplicateValues" dxfId="7" priority="134"/>
    <cfRule type="duplicateValues" dxfId="5" priority="133"/>
  </conditionalFormatting>
  <conditionalFormatting sqref="AT23">
    <cfRule type="cellIs" dxfId="8" priority="189" operator="greaterThan">
      <formula>0.3</formula>
    </cfRule>
  </conditionalFormatting>
  <conditionalFormatting sqref="AU23">
    <cfRule type="cellIs" dxfId="8" priority="60" operator="greaterThan">
      <formula>0.3</formula>
    </cfRule>
  </conditionalFormatting>
  <conditionalFormatting sqref="H24">
    <cfRule type="duplicateValues" dxfId="7" priority="132"/>
    <cfRule type="duplicateValues" dxfId="5" priority="131"/>
  </conditionalFormatting>
  <conditionalFormatting sqref="AR24">
    <cfRule type="cellIs" dxfId="8" priority="73" operator="greaterThan">
      <formula>0.3</formula>
    </cfRule>
  </conditionalFormatting>
  <conditionalFormatting sqref="H25">
    <cfRule type="duplicateValues" dxfId="7" priority="130"/>
    <cfRule type="duplicateValues" dxfId="5" priority="129"/>
  </conditionalFormatting>
  <conditionalFormatting sqref="AR25">
    <cfRule type="cellIs" dxfId="8" priority="74" operator="greaterThan">
      <formula>0.3</formula>
    </cfRule>
  </conditionalFormatting>
  <conditionalFormatting sqref="H26">
    <cfRule type="duplicateValues" dxfId="7" priority="128"/>
    <cfRule type="duplicateValues" dxfId="5" priority="127"/>
  </conditionalFormatting>
  <conditionalFormatting sqref="H27">
    <cfRule type="duplicateValues" dxfId="7" priority="126"/>
    <cfRule type="duplicateValues" dxfId="5" priority="125"/>
  </conditionalFormatting>
  <conditionalFormatting sqref="AT27">
    <cfRule type="cellIs" dxfId="8" priority="188" operator="greaterThan">
      <formula>0.3</formula>
    </cfRule>
  </conditionalFormatting>
  <conditionalFormatting sqref="H28">
    <cfRule type="duplicateValues" dxfId="7" priority="124"/>
    <cfRule type="duplicateValues" dxfId="5" priority="123"/>
  </conditionalFormatting>
  <conditionalFormatting sqref="AR28">
    <cfRule type="cellIs" dxfId="8" priority="71" operator="greaterThan">
      <formula>0.3</formula>
    </cfRule>
  </conditionalFormatting>
  <conditionalFormatting sqref="AT28">
    <cfRule type="cellIs" dxfId="8" priority="70" operator="greaterThan">
      <formula>0.3</formula>
    </cfRule>
  </conditionalFormatting>
  <conditionalFormatting sqref="H29">
    <cfRule type="duplicateValues" dxfId="7" priority="122"/>
    <cfRule type="duplicateValues" dxfId="5" priority="121"/>
  </conditionalFormatting>
  <conditionalFormatting sqref="AT29">
    <cfRule type="cellIs" dxfId="8" priority="187" operator="greaterThan">
      <formula>0.3</formula>
    </cfRule>
  </conditionalFormatting>
  <conditionalFormatting sqref="AU29">
    <cfRule type="cellIs" dxfId="8" priority="59" operator="greaterThan">
      <formula>0.3</formula>
    </cfRule>
  </conditionalFormatting>
  <conditionalFormatting sqref="H30">
    <cfRule type="duplicateValues" dxfId="7" priority="120"/>
    <cfRule type="duplicateValues" dxfId="5" priority="119"/>
  </conditionalFormatting>
  <conditionalFormatting sqref="AR30">
    <cfRule type="cellIs" dxfId="8" priority="69" operator="greaterThan">
      <formula>0.3</formula>
    </cfRule>
  </conditionalFormatting>
  <conditionalFormatting sqref="AT30">
    <cfRule type="cellIs" dxfId="8" priority="68" operator="greaterThan">
      <formula>0.3</formula>
    </cfRule>
  </conditionalFormatting>
  <conditionalFormatting sqref="H31">
    <cfRule type="duplicateValues" dxfId="7" priority="118"/>
    <cfRule type="duplicateValues" dxfId="5" priority="117"/>
  </conditionalFormatting>
  <conditionalFormatting sqref="AT31">
    <cfRule type="cellIs" dxfId="8" priority="183" operator="greaterThan">
      <formula>0.3</formula>
    </cfRule>
  </conditionalFormatting>
  <conditionalFormatting sqref="AU31">
    <cfRule type="cellIs" dxfId="8" priority="58" operator="greaterThan">
      <formula>0.3</formula>
    </cfRule>
  </conditionalFormatting>
  <conditionalFormatting sqref="H32">
    <cfRule type="duplicateValues" dxfId="7" priority="116"/>
    <cfRule type="duplicateValues" dxfId="5" priority="115"/>
  </conditionalFormatting>
  <conditionalFormatting sqref="AT32">
    <cfRule type="cellIs" dxfId="8" priority="184" operator="greaterThan">
      <formula>0.3</formula>
    </cfRule>
  </conditionalFormatting>
  <conditionalFormatting sqref="H33">
    <cfRule type="duplicateValues" dxfId="7" priority="114"/>
    <cfRule type="duplicateValues" dxfId="5" priority="113"/>
  </conditionalFormatting>
  <conditionalFormatting sqref="AT33">
    <cfRule type="cellIs" dxfId="8" priority="182" operator="greaterThan">
      <formula>0.3</formula>
    </cfRule>
  </conditionalFormatting>
  <conditionalFormatting sqref="H34">
    <cfRule type="duplicateValues" dxfId="7" priority="112"/>
    <cfRule type="duplicateValues" dxfId="5" priority="111"/>
  </conditionalFormatting>
  <conditionalFormatting sqref="AT34">
    <cfRule type="cellIs" dxfId="8" priority="199" operator="greaterThan">
      <formula>0.3</formula>
    </cfRule>
  </conditionalFormatting>
  <conditionalFormatting sqref="H35">
    <cfRule type="duplicateValues" dxfId="7" priority="110"/>
    <cfRule type="duplicateValues" dxfId="5" priority="109"/>
  </conditionalFormatting>
  <conditionalFormatting sqref="AT35">
    <cfRule type="cellIs" dxfId="8" priority="198" operator="greaterThan">
      <formula>0.3</formula>
    </cfRule>
  </conditionalFormatting>
  <conditionalFormatting sqref="H36">
    <cfRule type="duplicateValues" dxfId="7" priority="108"/>
    <cfRule type="duplicateValues" dxfId="5" priority="107"/>
  </conditionalFormatting>
  <conditionalFormatting sqref="H37">
    <cfRule type="duplicateValues" dxfId="7" priority="106"/>
    <cfRule type="duplicateValues" dxfId="5" priority="105"/>
  </conditionalFormatting>
  <conditionalFormatting sqref="AT37">
    <cfRule type="cellIs" dxfId="8" priority="181" operator="greaterThan">
      <formula>0.3</formula>
    </cfRule>
  </conditionalFormatting>
  <conditionalFormatting sqref="AU37">
    <cfRule type="cellIs" dxfId="8" priority="57" operator="greaterThan">
      <formula>0.3</formula>
    </cfRule>
  </conditionalFormatting>
  <conditionalFormatting sqref="H38">
    <cfRule type="duplicateValues" dxfId="7" priority="104"/>
    <cfRule type="duplicateValues" dxfId="5" priority="103"/>
  </conditionalFormatting>
  <conditionalFormatting sqref="AT38">
    <cfRule type="cellIs" dxfId="8" priority="197" operator="greaterThan">
      <formula>0.3</formula>
    </cfRule>
  </conditionalFormatting>
  <conditionalFormatting sqref="H39">
    <cfRule type="duplicateValues" dxfId="7" priority="102"/>
    <cfRule type="duplicateValues" dxfId="5" priority="101"/>
  </conditionalFormatting>
  <conditionalFormatting sqref="AT39">
    <cfRule type="cellIs" dxfId="8" priority="196" operator="greaterThan">
      <formula>0.3</formula>
    </cfRule>
  </conditionalFormatting>
  <conditionalFormatting sqref="H40">
    <cfRule type="duplicateValues" dxfId="7" priority="100"/>
    <cfRule type="duplicateValues" dxfId="5" priority="99"/>
  </conditionalFormatting>
  <conditionalFormatting sqref="H41">
    <cfRule type="duplicateValues" dxfId="7" priority="98"/>
    <cfRule type="duplicateValues" dxfId="5" priority="97"/>
  </conditionalFormatting>
  <conditionalFormatting sqref="AT41">
    <cfRule type="cellIs" dxfId="8" priority="180" operator="greaterThan">
      <formula>0.3</formula>
    </cfRule>
  </conditionalFormatting>
  <conditionalFormatting sqref="AU41">
    <cfRule type="cellIs" dxfId="8" priority="56" operator="greaterThan">
      <formula>0.3</formula>
    </cfRule>
  </conditionalFormatting>
  <conditionalFormatting sqref="H42">
    <cfRule type="duplicateValues" dxfId="7" priority="96"/>
    <cfRule type="duplicateValues" dxfId="5" priority="95"/>
  </conditionalFormatting>
  <conditionalFormatting sqref="AT42">
    <cfRule type="cellIs" dxfId="8" priority="195" operator="greaterThan">
      <formula>0.3</formula>
    </cfRule>
  </conditionalFormatting>
  <conditionalFormatting sqref="H43">
    <cfRule type="duplicateValues" dxfId="7" priority="94"/>
    <cfRule type="duplicateValues" dxfId="5" priority="93"/>
  </conditionalFormatting>
  <conditionalFormatting sqref="AT43">
    <cfRule type="cellIs" dxfId="8" priority="194" operator="greaterThan">
      <formula>0.3</formula>
    </cfRule>
  </conditionalFormatting>
  <conditionalFormatting sqref="H44">
    <cfRule type="duplicateValues" dxfId="7" priority="92"/>
    <cfRule type="duplicateValues" dxfId="5" priority="91"/>
  </conditionalFormatting>
  <conditionalFormatting sqref="AT45">
    <cfRule type="cellIs" dxfId="8" priority="49" operator="greaterThan">
      <formula>0.3</formula>
    </cfRule>
  </conditionalFormatting>
  <conditionalFormatting sqref="AU45">
    <cfRule type="cellIs" dxfId="8" priority="46" operator="greaterThan">
      <formula>0.3</formula>
    </cfRule>
  </conditionalFormatting>
  <conditionalFormatting sqref="AV45">
    <cfRule type="cellIs" dxfId="8" priority="17" operator="greaterThan">
      <formula>0.3</formula>
    </cfRule>
  </conditionalFormatting>
  <conditionalFormatting sqref="AW45">
    <cfRule type="cellIs" dxfId="8" priority="16" operator="greaterThan">
      <formula>0.3</formula>
    </cfRule>
  </conditionalFormatting>
  <conditionalFormatting sqref="AX45">
    <cfRule type="cellIs" dxfId="8" priority="15" operator="greaterThan">
      <formula>0.3</formula>
    </cfRule>
  </conditionalFormatting>
  <conditionalFormatting sqref="AR46">
    <cfRule type="cellIs" dxfId="8" priority="6" operator="greaterThan">
      <formula>0.3</formula>
    </cfRule>
  </conditionalFormatting>
  <conditionalFormatting sqref="AT46">
    <cfRule type="cellIs" dxfId="8" priority="5" operator="greaterThan">
      <formula>0.3</formula>
    </cfRule>
  </conditionalFormatting>
  <conditionalFormatting sqref="AT47">
    <cfRule type="cellIs" dxfId="8" priority="54" operator="greaterThan">
      <formula>0.3</formula>
    </cfRule>
  </conditionalFormatting>
  <conditionalFormatting sqref="AT49">
    <cfRule type="cellIs" dxfId="8" priority="48" operator="greaterThan">
      <formula>0.3</formula>
    </cfRule>
  </conditionalFormatting>
  <conditionalFormatting sqref="AT50">
    <cfRule type="cellIs" dxfId="8" priority="53" operator="greaterThan">
      <formula>0.3</formula>
    </cfRule>
  </conditionalFormatting>
  <conditionalFormatting sqref="H51">
    <cfRule type="duplicateValues" dxfId="7" priority="19"/>
    <cfRule type="duplicateValues" dxfId="5" priority="18"/>
  </conditionalFormatting>
  <conditionalFormatting sqref="AT51">
    <cfRule type="cellIs" dxfId="8" priority="52" operator="greaterThan">
      <formula>0.3</formula>
    </cfRule>
  </conditionalFormatting>
  <conditionalFormatting sqref="AU51">
    <cfRule type="cellIs" dxfId="8" priority="14" operator="greaterThan">
      <formula>0.3</formula>
    </cfRule>
  </conditionalFormatting>
  <conditionalFormatting sqref="AV51">
    <cfRule type="cellIs" dxfId="8" priority="13" operator="greaterThan">
      <formula>0.3</formula>
    </cfRule>
  </conditionalFormatting>
  <conditionalFormatting sqref="AW51">
    <cfRule type="cellIs" dxfId="8" priority="12" operator="greaterThan">
      <formula>0.3</formula>
    </cfRule>
  </conditionalFormatting>
  <conditionalFormatting sqref="AR52">
    <cfRule type="cellIs" dxfId="8" priority="4" operator="greaterThan">
      <formula>0.3</formula>
    </cfRule>
  </conditionalFormatting>
  <conditionalFormatting sqref="AT52">
    <cfRule type="cellIs" dxfId="8" priority="3" operator="greaterThan">
      <formula>0.3</formula>
    </cfRule>
  </conditionalFormatting>
  <conditionalFormatting sqref="AT53">
    <cfRule type="cellIs" dxfId="8" priority="47" operator="greaterThan">
      <formula>0.3</formula>
    </cfRule>
  </conditionalFormatting>
  <conditionalFormatting sqref="AT54">
    <cfRule type="cellIs" dxfId="8" priority="51" operator="greaterThan">
      <formula>0.3</formula>
    </cfRule>
  </conditionalFormatting>
  <conditionalFormatting sqref="AT55">
    <cfRule type="cellIs" dxfId="8" priority="50" operator="greaterThan">
      <formula>0.3</formula>
    </cfRule>
  </conditionalFormatting>
  <conditionalFormatting sqref="AU57">
    <cfRule type="cellIs" dxfId="8" priority="10" operator="greaterThan">
      <formula>0.3</formula>
    </cfRule>
  </conditionalFormatting>
  <conditionalFormatting sqref="AV57">
    <cfRule type="cellIs" dxfId="8" priority="9" operator="greaterThan">
      <formula>0.3</formula>
    </cfRule>
  </conditionalFormatting>
  <conditionalFormatting sqref="AW57">
    <cfRule type="cellIs" dxfId="8" priority="8" operator="greaterThan">
      <formula>0.3</formula>
    </cfRule>
  </conditionalFormatting>
  <conditionalFormatting sqref="AR58">
    <cfRule type="cellIs" dxfId="8" priority="2" operator="greaterThan">
      <formula>0.3</formula>
    </cfRule>
  </conditionalFormatting>
  <conditionalFormatting sqref="AT58">
    <cfRule type="cellIs" dxfId="8" priority="1" operator="greaterThan">
      <formula>0.3</formula>
    </cfRule>
  </conditionalFormatting>
  <conditionalFormatting sqref="AT12:AT13">
    <cfRule type="cellIs" dxfId="8" priority="82" operator="greaterThan">
      <formula>0.3</formula>
    </cfRule>
  </conditionalFormatting>
  <conditionalFormatting sqref="AT16:AT17">
    <cfRule type="cellIs" dxfId="8" priority="79" operator="greaterThan">
      <formula>0.3</formula>
    </cfRule>
  </conditionalFormatting>
  <conditionalFormatting sqref="AT20:AT21">
    <cfRule type="cellIs" dxfId="8" priority="77" operator="greaterThan">
      <formula>0.3</formula>
    </cfRule>
  </conditionalFormatting>
  <conditionalFormatting sqref="AT24:AT25">
    <cfRule type="cellIs" dxfId="8" priority="72" operator="greaterThan">
      <formula>0.3</formula>
    </cfRule>
  </conditionalFormatting>
  <conditionalFormatting sqref="AT3:AT5 AT14">
    <cfRule type="cellIs" dxfId="8" priority="200" operator="greaterThan">
      <formula>0.3</formula>
    </cfRule>
  </conditionalFormatting>
  <conditionalFormatting sqref="AU15 AU27 AU33">
    <cfRule type="cellIs" dxfId="8" priority="177" operator="greaterThan">
      <formula>0.3</formula>
    </cfRule>
  </conditionalFormatting>
  <pageMargins left="0.7" right="0.7" top="0.75" bottom="0.75" header="0.3" footer="0.3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1"/>
  <sheetViews>
    <sheetView zoomScale="60" zoomScaleNormal="60" workbookViewId="0">
      <selection activeCell="I10" sqref="I10"/>
    </sheetView>
  </sheetViews>
  <sheetFormatPr defaultColWidth="9.45333333333333" defaultRowHeight="35" customHeight="1"/>
  <cols>
    <col min="1" max="1" width="9.45333333333333" style="79"/>
    <col min="2" max="2" width="14.5466666666667" style="80" customWidth="1"/>
    <col min="3" max="3" width="34.2222222222222" style="83" customWidth="1"/>
    <col min="4" max="4" width="13.1866666666667" style="83" customWidth="1"/>
    <col min="5" max="5" width="26.1377777777778" style="83" customWidth="1"/>
    <col min="6" max="6" width="8.24888888888889" style="80" customWidth="1"/>
    <col min="7" max="7" width="16" style="80" customWidth="1"/>
    <col min="8" max="8" width="17.0933333333333" style="80" customWidth="1"/>
    <col min="9" max="9" width="22.1466666666667" style="80" customWidth="1"/>
    <col min="10" max="10" width="16" style="80" customWidth="1"/>
    <col min="11" max="11" width="25.0933333333333" style="80" customWidth="1"/>
    <col min="12" max="13" width="10.6666666666667" style="79" customWidth="1"/>
    <col min="14" max="16" width="9.81333333333333" style="79" customWidth="1"/>
    <col min="17" max="22" width="9.54666666666667" style="79"/>
    <col min="23" max="31" width="10.6666666666667" style="79"/>
    <col min="32" max="32" width="14.3333333333333" style="79"/>
    <col min="33" max="44" width="10.6666666666667" style="79"/>
    <col min="45" max="53" width="9.54666666666667" style="79"/>
    <col min="54" max="16384" width="9.45333333333333" style="79"/>
  </cols>
  <sheetData>
    <row r="1" s="79" customFormat="1" customHeight="1" spans="1:11">
      <c r="A1" s="83"/>
      <c r="B1" s="83"/>
      <c r="C1" s="83"/>
      <c r="D1" s="83"/>
      <c r="E1" s="83"/>
      <c r="F1" s="80"/>
      <c r="G1" s="80"/>
      <c r="H1" s="80"/>
      <c r="I1" s="80"/>
      <c r="J1" s="80"/>
      <c r="K1" s="80"/>
    </row>
    <row r="2" s="80" customFormat="1" ht="42" customHeight="1" spans="1:54">
      <c r="A2" s="112" t="s">
        <v>62</v>
      </c>
      <c r="B2" s="112" t="s">
        <v>63</v>
      </c>
      <c r="C2" s="112" t="s">
        <v>64</v>
      </c>
      <c r="D2" s="112" t="s">
        <v>65</v>
      </c>
      <c r="E2" s="112" t="s">
        <v>66</v>
      </c>
      <c r="F2" s="112" t="s">
        <v>67</v>
      </c>
      <c r="G2" s="112" t="s">
        <v>68</v>
      </c>
      <c r="H2" s="112" t="s">
        <v>69</v>
      </c>
      <c r="I2" s="112" t="s">
        <v>70</v>
      </c>
      <c r="J2" s="112" t="s">
        <v>71</v>
      </c>
      <c r="K2" s="112" t="s">
        <v>72</v>
      </c>
      <c r="L2" s="96">
        <v>46062</v>
      </c>
      <c r="M2" s="96">
        <v>46063</v>
      </c>
      <c r="N2" s="96">
        <v>46064</v>
      </c>
      <c r="O2" s="96">
        <v>46065</v>
      </c>
      <c r="P2" s="96">
        <v>46066</v>
      </c>
      <c r="Q2" s="96">
        <v>46067</v>
      </c>
      <c r="R2" s="96">
        <v>46068</v>
      </c>
      <c r="S2" s="96">
        <v>46069</v>
      </c>
      <c r="T2" s="96">
        <v>46070</v>
      </c>
      <c r="U2" s="96">
        <v>46071</v>
      </c>
      <c r="V2" s="96">
        <v>46072</v>
      </c>
      <c r="W2" s="96">
        <v>46073</v>
      </c>
      <c r="X2" s="96">
        <v>46074</v>
      </c>
      <c r="Y2" s="96">
        <v>46075</v>
      </c>
      <c r="Z2" s="96">
        <v>46076</v>
      </c>
      <c r="AA2" s="96">
        <v>46077</v>
      </c>
      <c r="AB2" s="96">
        <v>46078</v>
      </c>
      <c r="AC2" s="96">
        <v>46079</v>
      </c>
      <c r="AD2" s="96">
        <v>46080</v>
      </c>
      <c r="AE2" s="96">
        <v>46081</v>
      </c>
      <c r="AF2" s="96">
        <v>46082</v>
      </c>
      <c r="AG2" s="96">
        <v>46083</v>
      </c>
      <c r="AH2" s="96">
        <v>46084</v>
      </c>
      <c r="AI2" s="96">
        <v>46085</v>
      </c>
      <c r="AJ2" s="96">
        <v>46086</v>
      </c>
      <c r="AK2" s="96">
        <v>46087</v>
      </c>
      <c r="AL2" s="96">
        <v>46088</v>
      </c>
      <c r="AM2" s="96">
        <v>46089</v>
      </c>
      <c r="AN2" s="96">
        <v>46090</v>
      </c>
      <c r="AO2" s="96">
        <v>46091</v>
      </c>
      <c r="AP2" s="96">
        <v>46092</v>
      </c>
      <c r="AQ2" s="96">
        <v>46093</v>
      </c>
      <c r="AR2" s="96">
        <v>46094</v>
      </c>
      <c r="AS2" s="96">
        <v>46095</v>
      </c>
      <c r="AT2" s="96">
        <v>46096</v>
      </c>
      <c r="AU2" s="96">
        <v>46097</v>
      </c>
      <c r="AV2" s="96">
        <v>46098</v>
      </c>
      <c r="AW2" s="96">
        <v>46099</v>
      </c>
      <c r="AX2" s="96">
        <v>46100</v>
      </c>
      <c r="AY2" s="96">
        <v>46101</v>
      </c>
      <c r="AZ2" s="96">
        <v>46102</v>
      </c>
      <c r="BA2" s="96">
        <v>46103</v>
      </c>
      <c r="BB2" s="96">
        <v>46104</v>
      </c>
    </row>
    <row r="3" s="81" customFormat="1" customHeight="1" spans="1:54">
      <c r="A3" s="85" t="s">
        <v>73</v>
      </c>
      <c r="B3" s="93">
        <v>1.1</v>
      </c>
      <c r="C3" s="113" t="s">
        <v>18</v>
      </c>
      <c r="D3" s="16" t="s">
        <v>74</v>
      </c>
      <c r="E3" s="16" t="s">
        <v>75</v>
      </c>
      <c r="F3" s="93">
        <v>3</v>
      </c>
      <c r="G3" s="93" t="s">
        <v>76</v>
      </c>
      <c r="H3" s="35">
        <v>46078</v>
      </c>
      <c r="I3" s="35">
        <v>46099</v>
      </c>
      <c r="J3" s="117" t="s">
        <v>245</v>
      </c>
      <c r="K3" s="118" t="s">
        <v>246</v>
      </c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107" t="s">
        <v>78</v>
      </c>
      <c r="AC3" s="106"/>
      <c r="AD3" s="106"/>
      <c r="AE3" s="106"/>
      <c r="AF3" s="106"/>
      <c r="AG3" s="107" t="s">
        <v>79</v>
      </c>
      <c r="AH3" s="106"/>
      <c r="AI3" s="106"/>
      <c r="AJ3" s="106"/>
      <c r="AK3" s="106"/>
      <c r="AL3" s="106"/>
      <c r="AM3" s="107" t="s">
        <v>80</v>
      </c>
      <c r="AN3" s="106"/>
      <c r="AO3" s="106"/>
      <c r="AP3" s="106"/>
      <c r="AQ3" s="106"/>
      <c r="AR3" s="106"/>
      <c r="AS3" s="106"/>
      <c r="AT3" s="106"/>
      <c r="AU3" s="106"/>
      <c r="AV3" s="106"/>
      <c r="AW3" s="107" t="s">
        <v>81</v>
      </c>
      <c r="AX3" s="106"/>
      <c r="AY3" s="106"/>
      <c r="AZ3" s="106"/>
      <c r="BA3" s="106"/>
      <c r="BB3" s="99"/>
    </row>
    <row r="4" s="81" customFormat="1" customHeight="1" spans="1:54">
      <c r="A4" s="85"/>
      <c r="B4" s="93"/>
      <c r="C4" s="113"/>
      <c r="D4" s="16"/>
      <c r="E4" s="16"/>
      <c r="F4" s="93"/>
      <c r="G4" s="93" t="s">
        <v>82</v>
      </c>
      <c r="H4" s="35"/>
      <c r="I4" s="35"/>
      <c r="J4" s="117"/>
      <c r="K4" s="118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99"/>
    </row>
    <row r="5" s="81" customFormat="1" ht="41" customHeight="1" spans="1:54">
      <c r="A5" s="85"/>
      <c r="B5" s="93">
        <v>1.4</v>
      </c>
      <c r="C5" s="113" t="s">
        <v>83</v>
      </c>
      <c r="D5" s="16" t="s">
        <v>84</v>
      </c>
      <c r="E5" s="16" t="s">
        <v>85</v>
      </c>
      <c r="F5" s="93">
        <v>3</v>
      </c>
      <c r="G5" s="93" t="s">
        <v>76</v>
      </c>
      <c r="H5" s="35">
        <v>46078</v>
      </c>
      <c r="I5" s="35">
        <f>H5+14</f>
        <v>46092</v>
      </c>
      <c r="J5" s="117" t="s">
        <v>245</v>
      </c>
      <c r="K5" s="119"/>
      <c r="L5" s="104"/>
      <c r="M5" s="108"/>
      <c r="N5" s="108"/>
      <c r="O5" s="108"/>
      <c r="P5" s="104"/>
      <c r="Q5" s="108"/>
      <c r="R5" s="108"/>
      <c r="S5" s="108"/>
      <c r="T5" s="108"/>
      <c r="U5" s="104"/>
      <c r="V5" s="108"/>
      <c r="W5" s="108"/>
      <c r="X5" s="108"/>
      <c r="Y5" s="108"/>
      <c r="Z5" s="104"/>
      <c r="AA5" s="106"/>
      <c r="AB5" s="107" t="s">
        <v>78</v>
      </c>
      <c r="AC5" s="106"/>
      <c r="AD5" s="106"/>
      <c r="AE5" s="106"/>
      <c r="AF5" s="107" t="s">
        <v>86</v>
      </c>
      <c r="AG5" s="106"/>
      <c r="AH5" s="106"/>
      <c r="AI5" s="106"/>
      <c r="AJ5" s="106"/>
      <c r="AK5" s="107" t="s">
        <v>87</v>
      </c>
      <c r="AL5" s="106"/>
      <c r="AM5" s="106"/>
      <c r="AN5" s="106"/>
      <c r="AO5" s="106"/>
      <c r="AP5" s="107" t="s">
        <v>88</v>
      </c>
      <c r="AQ5" s="99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99"/>
    </row>
    <row r="6" s="81" customFormat="1" customHeight="1" spans="1:54">
      <c r="A6" s="85"/>
      <c r="B6" s="93"/>
      <c r="C6" s="113"/>
      <c r="D6" s="16"/>
      <c r="E6" s="16"/>
      <c r="F6" s="93"/>
      <c r="G6" s="93" t="s">
        <v>82</v>
      </c>
      <c r="H6" s="35"/>
      <c r="I6" s="35"/>
      <c r="J6" s="117"/>
      <c r="K6" s="119"/>
      <c r="L6" s="106"/>
      <c r="M6" s="106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99"/>
    </row>
    <row r="7" s="82" customFormat="1" customHeight="1" spans="1:54">
      <c r="A7" s="85"/>
      <c r="B7" s="93">
        <v>1.6</v>
      </c>
      <c r="C7" s="113" t="s">
        <v>35</v>
      </c>
      <c r="D7" s="16" t="s">
        <v>89</v>
      </c>
      <c r="E7" s="16" t="s">
        <v>90</v>
      </c>
      <c r="F7" s="93">
        <v>3</v>
      </c>
      <c r="G7" s="93" t="s">
        <v>76</v>
      </c>
      <c r="H7" s="35">
        <v>46062</v>
      </c>
      <c r="I7" s="35">
        <v>46066</v>
      </c>
      <c r="J7" s="117" t="s">
        <v>245</v>
      </c>
      <c r="K7" s="93"/>
      <c r="L7" s="107" t="s">
        <v>78</v>
      </c>
      <c r="M7" s="106"/>
      <c r="N7" s="106"/>
      <c r="O7" s="106"/>
      <c r="P7" s="107" t="s">
        <v>92</v>
      </c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06"/>
      <c r="AU7" s="106"/>
      <c r="AV7" s="106"/>
      <c r="AW7" s="106"/>
      <c r="AX7" s="106"/>
      <c r="AY7" s="106"/>
      <c r="AZ7" s="106"/>
      <c r="BA7" s="106"/>
      <c r="BB7" s="121"/>
    </row>
    <row r="8" s="82" customFormat="1" customHeight="1" spans="1:54">
      <c r="A8" s="85"/>
      <c r="B8" s="93"/>
      <c r="C8" s="113"/>
      <c r="D8" s="16"/>
      <c r="E8" s="16"/>
      <c r="F8" s="93"/>
      <c r="G8" s="93" t="s">
        <v>82</v>
      </c>
      <c r="H8" s="35"/>
      <c r="I8" s="35"/>
      <c r="J8" s="117"/>
      <c r="K8" s="93"/>
      <c r="L8" s="99"/>
      <c r="M8" s="99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21"/>
    </row>
    <row r="9" s="79" customFormat="1" customHeight="1" spans="1:54">
      <c r="A9" s="85"/>
      <c r="B9" s="93">
        <v>1.7</v>
      </c>
      <c r="C9" s="113" t="s">
        <v>38</v>
      </c>
      <c r="D9" s="16" t="s">
        <v>93</v>
      </c>
      <c r="E9" s="16" t="s">
        <v>94</v>
      </c>
      <c r="F9" s="93">
        <v>3</v>
      </c>
      <c r="G9" s="93" t="s">
        <v>76</v>
      </c>
      <c r="H9" s="35">
        <v>46062</v>
      </c>
      <c r="I9" s="35">
        <v>46066</v>
      </c>
      <c r="J9" s="117" t="s">
        <v>245</v>
      </c>
      <c r="K9" s="93"/>
      <c r="L9" s="107" t="s">
        <v>78</v>
      </c>
      <c r="M9" s="106"/>
      <c r="N9" s="106"/>
      <c r="O9" s="110"/>
      <c r="P9" s="111" t="s">
        <v>95</v>
      </c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</row>
    <row r="10" s="79" customFormat="1" customHeight="1" spans="1:54">
      <c r="A10" s="85"/>
      <c r="B10" s="93"/>
      <c r="C10" s="113"/>
      <c r="D10" s="16"/>
      <c r="E10" s="16"/>
      <c r="F10" s="93"/>
      <c r="G10" s="93" t="s">
        <v>82</v>
      </c>
      <c r="H10" s="35"/>
      <c r="I10" s="35"/>
      <c r="J10" s="117"/>
      <c r="K10" s="93"/>
      <c r="L10" s="99"/>
      <c r="M10" s="99"/>
      <c r="N10" s="109"/>
      <c r="O10" s="109"/>
      <c r="P10" s="109"/>
      <c r="Q10" s="110"/>
      <c r="R10" s="109"/>
      <c r="S10" s="109"/>
      <c r="T10" s="109"/>
      <c r="U10" s="109"/>
      <c r="V10" s="109"/>
      <c r="W10" s="109"/>
      <c r="X10" s="109"/>
      <c r="Y10" s="109"/>
      <c r="Z10" s="109"/>
      <c r="AA10" s="110"/>
      <c r="AB10" s="110"/>
      <c r="AC10" s="110"/>
      <c r="AD10" s="110"/>
      <c r="AE10" s="110"/>
      <c r="AF10" s="110"/>
      <c r="AG10" s="110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09"/>
      <c r="BA10" s="109"/>
      <c r="BB10" s="110"/>
    </row>
    <row r="11" customHeight="1" spans="1:54">
      <c r="A11" s="85"/>
      <c r="B11" s="93">
        <v>1.8</v>
      </c>
      <c r="C11" s="113" t="s">
        <v>40</v>
      </c>
      <c r="D11" s="16" t="s">
        <v>96</v>
      </c>
      <c r="E11" s="16" t="s">
        <v>97</v>
      </c>
      <c r="F11" s="93">
        <v>3</v>
      </c>
      <c r="G11" s="93" t="s">
        <v>76</v>
      </c>
      <c r="H11" s="35">
        <v>46078</v>
      </c>
      <c r="I11" s="35">
        <f>H11+500/24+5</f>
        <v>46103.8333333333</v>
      </c>
      <c r="J11" s="117" t="s">
        <v>245</v>
      </c>
      <c r="K11" s="93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07" t="s">
        <v>78</v>
      </c>
      <c r="AC11" s="110"/>
      <c r="AD11" s="110"/>
      <c r="AE11" s="110"/>
      <c r="AF11" s="110"/>
      <c r="AG11" s="107" t="s">
        <v>98</v>
      </c>
      <c r="AH11" s="110"/>
      <c r="AI11" s="110"/>
      <c r="AJ11" s="110"/>
      <c r="AK11" s="110"/>
      <c r="AL11" s="107" t="s">
        <v>99</v>
      </c>
      <c r="AM11" s="110"/>
      <c r="AN11" s="110"/>
      <c r="AO11" s="110"/>
      <c r="AP11" s="110"/>
      <c r="AQ11" s="107" t="s">
        <v>100</v>
      </c>
      <c r="AR11" s="110"/>
      <c r="AS11" s="110"/>
      <c r="AT11" s="110"/>
      <c r="AU11" s="110"/>
      <c r="AV11" s="107" t="s">
        <v>101</v>
      </c>
      <c r="AW11" s="110"/>
      <c r="AX11" s="110"/>
      <c r="AY11" s="110"/>
      <c r="AZ11" s="110"/>
      <c r="BA11" s="107" t="s">
        <v>102</v>
      </c>
      <c r="BB11" s="110"/>
    </row>
    <row r="12" customHeight="1" spans="1:54">
      <c r="A12" s="85"/>
      <c r="B12" s="93"/>
      <c r="C12" s="113"/>
      <c r="D12" s="16"/>
      <c r="E12" s="16"/>
      <c r="F12" s="93"/>
      <c r="G12" s="93" t="s">
        <v>82</v>
      </c>
      <c r="H12" s="35"/>
      <c r="I12" s="35"/>
      <c r="J12" s="117"/>
      <c r="K12" s="93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</row>
    <row r="13" customHeight="1" spans="1:54">
      <c r="A13" s="85"/>
      <c r="B13" s="93">
        <v>2.2</v>
      </c>
      <c r="C13" s="113" t="s">
        <v>51</v>
      </c>
      <c r="D13" s="16" t="s">
        <v>103</v>
      </c>
      <c r="E13" s="16" t="s">
        <v>26</v>
      </c>
      <c r="F13" s="93">
        <v>3</v>
      </c>
      <c r="G13" s="93" t="s">
        <v>76</v>
      </c>
      <c r="H13" s="35">
        <v>46064</v>
      </c>
      <c r="I13" s="35">
        <v>46064</v>
      </c>
      <c r="J13" s="117" t="s">
        <v>245</v>
      </c>
      <c r="K13" s="93"/>
      <c r="L13" s="110"/>
      <c r="M13" s="110"/>
      <c r="N13" s="107" t="s">
        <v>78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</row>
    <row r="14" customHeight="1" spans="1:54">
      <c r="A14" s="85"/>
      <c r="B14" s="93"/>
      <c r="C14" s="113"/>
      <c r="D14" s="16"/>
      <c r="E14" s="16"/>
      <c r="F14" s="93"/>
      <c r="G14" s="93" t="s">
        <v>82</v>
      </c>
      <c r="H14" s="35"/>
      <c r="I14" s="35"/>
      <c r="J14" s="117"/>
      <c r="K14" s="93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</row>
    <row r="15" customHeight="1" spans="1:54">
      <c r="A15" s="85"/>
      <c r="B15" s="93">
        <v>3.3</v>
      </c>
      <c r="C15" s="113" t="s">
        <v>104</v>
      </c>
      <c r="D15" s="16" t="s">
        <v>105</v>
      </c>
      <c r="E15" s="16" t="s">
        <v>106</v>
      </c>
      <c r="F15" s="93">
        <v>10</v>
      </c>
      <c r="G15" s="93" t="s">
        <v>76</v>
      </c>
      <c r="H15" s="35">
        <v>46078</v>
      </c>
      <c r="I15" s="35">
        <f>H15+146/24+6</f>
        <v>46090.0833333333</v>
      </c>
      <c r="J15" s="117" t="s">
        <v>245</v>
      </c>
      <c r="K15" s="93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07" t="s">
        <v>78</v>
      </c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07" t="s">
        <v>107</v>
      </c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</row>
    <row r="16" customHeight="1" spans="1:54">
      <c r="A16" s="85"/>
      <c r="B16" s="93"/>
      <c r="C16" s="113"/>
      <c r="D16" s="16"/>
      <c r="E16" s="16"/>
      <c r="F16" s="93"/>
      <c r="G16" s="93" t="s">
        <v>82</v>
      </c>
      <c r="H16" s="35"/>
      <c r="I16" s="35"/>
      <c r="J16" s="117"/>
      <c r="K16" s="93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</row>
    <row r="17" customHeight="1" spans="3:9">
      <c r="C17" s="114"/>
      <c r="D17" s="115"/>
      <c r="E17" s="115"/>
      <c r="H17" s="116"/>
      <c r="I17" s="120"/>
    </row>
    <row r="18" s="79" customFormat="1" customHeight="1" spans="2:11">
      <c r="B18" s="80" t="s">
        <v>108</v>
      </c>
      <c r="C18" s="83"/>
      <c r="D18" s="83"/>
      <c r="E18" s="83"/>
      <c r="F18" s="80"/>
      <c r="G18" s="80"/>
      <c r="H18" s="80"/>
      <c r="I18" s="80"/>
      <c r="J18" s="80"/>
      <c r="K18" s="80"/>
    </row>
    <row r="19" s="79" customFormat="1" customHeight="1" spans="2:11">
      <c r="B19" s="80" t="s">
        <v>76</v>
      </c>
      <c r="C19" s="83"/>
      <c r="D19" s="83"/>
      <c r="E19" s="83"/>
      <c r="F19" s="80"/>
      <c r="G19" s="80"/>
      <c r="H19" s="80"/>
      <c r="I19" s="80"/>
      <c r="J19" s="80"/>
      <c r="K19" s="80"/>
    </row>
    <row r="20" s="79" customFormat="1" customHeight="1" spans="2:11">
      <c r="B20" s="80" t="s">
        <v>82</v>
      </c>
      <c r="C20" s="83"/>
      <c r="D20" s="83"/>
      <c r="E20" s="83"/>
      <c r="F20" s="80"/>
      <c r="G20" s="80"/>
      <c r="H20" s="80"/>
      <c r="I20" s="80"/>
      <c r="J20" s="80"/>
      <c r="K20" s="80"/>
    </row>
    <row r="21" s="79" customFormat="1" customHeight="1" spans="2:11">
      <c r="B21" s="92"/>
      <c r="C21" s="83"/>
      <c r="D21" s="83"/>
      <c r="E21" s="83"/>
      <c r="F21" s="80"/>
      <c r="G21" s="80"/>
      <c r="H21" s="80"/>
      <c r="I21" s="80"/>
      <c r="J21" s="80"/>
      <c r="K21" s="80"/>
    </row>
  </sheetData>
  <mergeCells count="50">
    <mergeCell ref="A3:A16"/>
    <mergeCell ref="B3:B4"/>
    <mergeCell ref="B5:B6"/>
    <mergeCell ref="B7:B8"/>
    <mergeCell ref="B9:B10"/>
    <mergeCell ref="B11:B12"/>
    <mergeCell ref="B13:B14"/>
    <mergeCell ref="B15:B16"/>
    <mergeCell ref="C3:C4"/>
    <mergeCell ref="C5:C6"/>
    <mergeCell ref="C7:C8"/>
    <mergeCell ref="C9:C10"/>
    <mergeCell ref="C11:C12"/>
    <mergeCell ref="C13:C14"/>
    <mergeCell ref="C15:C16"/>
    <mergeCell ref="D3:D4"/>
    <mergeCell ref="D5:D6"/>
    <mergeCell ref="D7:D8"/>
    <mergeCell ref="D9:D10"/>
    <mergeCell ref="D11:D12"/>
    <mergeCell ref="D13:D14"/>
    <mergeCell ref="D15:D16"/>
    <mergeCell ref="E3:E4"/>
    <mergeCell ref="E5:E6"/>
    <mergeCell ref="E7:E8"/>
    <mergeCell ref="E9:E10"/>
    <mergeCell ref="E11:E12"/>
    <mergeCell ref="E13:E14"/>
    <mergeCell ref="E15:E16"/>
    <mergeCell ref="F3:F4"/>
    <mergeCell ref="F5:F6"/>
    <mergeCell ref="F7:F8"/>
    <mergeCell ref="F9:F10"/>
    <mergeCell ref="F11:F12"/>
    <mergeCell ref="F13:F14"/>
    <mergeCell ref="F15:F16"/>
    <mergeCell ref="J3:J4"/>
    <mergeCell ref="J5:J6"/>
    <mergeCell ref="J7:J8"/>
    <mergeCell ref="J9:J10"/>
    <mergeCell ref="J11:J12"/>
    <mergeCell ref="J13:J14"/>
    <mergeCell ref="J15:J16"/>
    <mergeCell ref="K3:K4"/>
    <mergeCell ref="K5:K6"/>
    <mergeCell ref="K7:K8"/>
    <mergeCell ref="K9:K10"/>
    <mergeCell ref="K11:K12"/>
    <mergeCell ref="K13:K14"/>
    <mergeCell ref="K15:K16"/>
  </mergeCells>
  <conditionalFormatting sqref="J3">
    <cfRule type="cellIs" dxfId="0" priority="20" operator="equal">
      <formula>"Ongoing"</formula>
    </cfRule>
    <cfRule type="cellIs" dxfId="1" priority="19" operator="equal">
      <formula>"Not started"</formula>
    </cfRule>
    <cfRule type="cellIs" dxfId="2" priority="18" operator="equal">
      <formula>"Completed"</formula>
    </cfRule>
    <cfRule type="cellIs" dxfId="3" priority="17" operator="equal">
      <formula>"Termination"</formula>
    </cfRule>
    <cfRule type="cellIs" dxfId="4" priority="16" operator="equal">
      <formula>"Delayed"</formula>
    </cfRule>
  </conditionalFormatting>
  <conditionalFormatting sqref="J5">
    <cfRule type="cellIs" dxfId="0" priority="35" operator="equal">
      <formula>"Ongoing"</formula>
    </cfRule>
    <cfRule type="cellIs" dxfId="1" priority="34" operator="equal">
      <formula>"Not started"</formula>
    </cfRule>
    <cfRule type="cellIs" dxfId="2" priority="33" operator="equal">
      <formula>"Completed"</formula>
    </cfRule>
    <cfRule type="cellIs" dxfId="3" priority="32" operator="equal">
      <formula>"Termination"</formula>
    </cfRule>
    <cfRule type="cellIs" dxfId="4" priority="31" operator="equal">
      <formula>"Delayed"</formula>
    </cfRule>
  </conditionalFormatting>
  <conditionalFormatting sqref="J7">
    <cfRule type="cellIs" dxfId="0" priority="30" operator="equal">
      <formula>"Ongoing"</formula>
    </cfRule>
    <cfRule type="cellIs" dxfId="1" priority="29" operator="equal">
      <formula>"Not started"</formula>
    </cfRule>
    <cfRule type="cellIs" dxfId="2" priority="28" operator="equal">
      <formula>"Completed"</formula>
    </cfRule>
    <cfRule type="cellIs" dxfId="3" priority="27" operator="equal">
      <formula>"Termination"</formula>
    </cfRule>
    <cfRule type="cellIs" dxfId="4" priority="26" operator="equal">
      <formula>"Delayed"</formula>
    </cfRule>
  </conditionalFormatting>
  <conditionalFormatting sqref="J9">
    <cfRule type="cellIs" dxfId="0" priority="25" operator="equal">
      <formula>"Ongoing"</formula>
    </cfRule>
    <cfRule type="cellIs" dxfId="1" priority="24" operator="equal">
      <formula>"Not started"</formula>
    </cfRule>
    <cfRule type="cellIs" dxfId="2" priority="23" operator="equal">
      <formula>"Completed"</formula>
    </cfRule>
    <cfRule type="cellIs" dxfId="3" priority="22" operator="equal">
      <formula>"Termination"</formula>
    </cfRule>
    <cfRule type="cellIs" dxfId="4" priority="21" operator="equal">
      <formula>"Delayed"</formula>
    </cfRule>
  </conditionalFormatting>
  <conditionalFormatting sqref="J11">
    <cfRule type="cellIs" dxfId="0" priority="15" operator="equal">
      <formula>"Ongoing"</formula>
    </cfRule>
    <cfRule type="cellIs" dxfId="1" priority="14" operator="equal">
      <formula>"Not started"</formula>
    </cfRule>
    <cfRule type="cellIs" dxfId="2" priority="13" operator="equal">
      <formula>"Completed"</formula>
    </cfRule>
    <cfRule type="cellIs" dxfId="3" priority="12" operator="equal">
      <formula>"Termination"</formula>
    </cfRule>
    <cfRule type="cellIs" dxfId="4" priority="11" operator="equal">
      <formula>"Delayed"</formula>
    </cfRule>
  </conditionalFormatting>
  <conditionalFormatting sqref="J13">
    <cfRule type="cellIs" dxfId="0" priority="10" operator="equal">
      <formula>"Ongoing"</formula>
    </cfRule>
    <cfRule type="cellIs" dxfId="1" priority="9" operator="equal">
      <formula>"Not started"</formula>
    </cfRule>
    <cfRule type="cellIs" dxfId="2" priority="8" operator="equal">
      <formula>"Completed"</formula>
    </cfRule>
    <cfRule type="cellIs" dxfId="3" priority="7" operator="equal">
      <formula>"Termination"</formula>
    </cfRule>
    <cfRule type="cellIs" dxfId="4" priority="6" operator="equal">
      <formula>"Delayed"</formula>
    </cfRule>
  </conditionalFormatting>
  <conditionalFormatting sqref="J15">
    <cfRule type="cellIs" dxfId="0" priority="5" operator="equal">
      <formula>"Ongoing"</formula>
    </cfRule>
    <cfRule type="cellIs" dxfId="1" priority="4" operator="equal">
      <formula>"Not started"</formula>
    </cfRule>
    <cfRule type="cellIs" dxfId="2" priority="3" operator="equal">
      <formula>"Completed"</formula>
    </cfRule>
    <cfRule type="cellIs" dxfId="3" priority="2" operator="equal">
      <formula>"Termination"</formula>
    </cfRule>
    <cfRule type="cellIs" dxfId="4" priority="1" operator="equal">
      <formula>"Delayed"</formula>
    </cfRule>
  </conditionalFormatting>
  <dataValidations count="1">
    <dataValidation type="list" allowBlank="1" showInputMessage="1" showErrorMessage="1" sqref="J3 J5 J7 J9 J11 J13 J15">
      <formula1>"Ongoing,Not started,Completed,Termination,Delayed"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A18"/>
  <sheetViews>
    <sheetView zoomScale="70" zoomScaleNormal="70" workbookViewId="0">
      <selection activeCell="I15" sqref="I15"/>
    </sheetView>
  </sheetViews>
  <sheetFormatPr defaultColWidth="9.45333333333333" defaultRowHeight="35" customHeight="1"/>
  <cols>
    <col min="1" max="1" width="9.45333333333333" style="79"/>
    <col min="2" max="2" width="14.5466666666667" style="80" customWidth="1"/>
    <col min="3" max="3" width="34.2222222222222" style="83" customWidth="1"/>
    <col min="4" max="4" width="13.1866666666667" style="83" customWidth="1"/>
    <col min="5" max="5" width="26.1377777777778" style="83" customWidth="1"/>
    <col min="6" max="6" width="11.7333333333333" style="80" customWidth="1"/>
    <col min="7" max="7" width="16" style="80" customWidth="1"/>
    <col min="8" max="8" width="17.0933333333333" style="80" customWidth="1"/>
    <col min="9" max="9" width="22.1466666666667" style="80" customWidth="1"/>
    <col min="10" max="10" width="16" style="80" customWidth="1"/>
    <col min="11" max="11" width="25.0933333333333" style="80" customWidth="1"/>
    <col min="12" max="13" width="10.6666666666667" style="79" customWidth="1"/>
    <col min="14" max="16" width="9.81333333333333" style="79" customWidth="1"/>
    <col min="17" max="22" width="9.54666666666667" style="79"/>
    <col min="23" max="44" width="10.6666666666667" style="79"/>
    <col min="45" max="53" width="9.54666666666667" style="79"/>
    <col min="54" max="16384" width="9.45333333333333" style="79"/>
  </cols>
  <sheetData>
    <row r="1" s="79" customFormat="1" customHeight="1" spans="1:11">
      <c r="A1" s="83"/>
      <c r="B1" s="83"/>
      <c r="C1" s="83"/>
      <c r="D1" s="83"/>
      <c r="E1" s="83"/>
      <c r="F1" s="80"/>
      <c r="G1" s="80"/>
      <c r="H1" s="80"/>
      <c r="I1" s="80"/>
      <c r="J1" s="80"/>
      <c r="K1" s="80"/>
    </row>
    <row r="2" s="80" customFormat="1" ht="42" customHeight="1" spans="1:53">
      <c r="A2" s="84" t="s">
        <v>62</v>
      </c>
      <c r="B2" s="84" t="s">
        <v>63</v>
      </c>
      <c r="C2" s="84" t="s">
        <v>64</v>
      </c>
      <c r="D2" s="84" t="s">
        <v>65</v>
      </c>
      <c r="E2" s="84" t="s">
        <v>66</v>
      </c>
      <c r="F2" s="84" t="s">
        <v>67</v>
      </c>
      <c r="G2" s="84" t="s">
        <v>68</v>
      </c>
      <c r="H2" s="84" t="s">
        <v>69</v>
      </c>
      <c r="I2" s="84" t="s">
        <v>70</v>
      </c>
      <c r="J2" s="84" t="s">
        <v>71</v>
      </c>
      <c r="K2" s="84" t="s">
        <v>72</v>
      </c>
      <c r="L2" s="96">
        <v>46062</v>
      </c>
      <c r="M2" s="96">
        <v>46063</v>
      </c>
      <c r="N2" s="96">
        <v>46064</v>
      </c>
      <c r="O2" s="96">
        <v>46065</v>
      </c>
      <c r="P2" s="96">
        <v>46066</v>
      </c>
      <c r="Q2" s="96">
        <v>46067</v>
      </c>
      <c r="R2" s="96">
        <v>46068</v>
      </c>
      <c r="S2" s="96">
        <v>46069</v>
      </c>
      <c r="T2" s="96">
        <v>46070</v>
      </c>
      <c r="U2" s="96">
        <v>46071</v>
      </c>
      <c r="V2" s="96">
        <v>46072</v>
      </c>
      <c r="W2" s="96">
        <v>46073</v>
      </c>
      <c r="X2" s="96">
        <v>46074</v>
      </c>
      <c r="Y2" s="96">
        <v>46075</v>
      </c>
      <c r="Z2" s="96">
        <v>46076</v>
      </c>
      <c r="AA2" s="96">
        <v>46077</v>
      </c>
      <c r="AB2" s="96">
        <v>46078</v>
      </c>
      <c r="AC2" s="96">
        <v>46079</v>
      </c>
      <c r="AD2" s="96">
        <v>46080</v>
      </c>
      <c r="AE2" s="96">
        <v>46081</v>
      </c>
      <c r="AF2" s="96">
        <v>46082</v>
      </c>
      <c r="AG2" s="96">
        <v>46083</v>
      </c>
      <c r="AH2" s="96">
        <v>46084</v>
      </c>
      <c r="AI2" s="96">
        <v>46085</v>
      </c>
      <c r="AJ2" s="96">
        <v>46086</v>
      </c>
      <c r="AK2" s="96">
        <v>46087</v>
      </c>
      <c r="AL2" s="96">
        <v>46088</v>
      </c>
      <c r="AM2" s="96">
        <v>46089</v>
      </c>
      <c r="AN2" s="96">
        <v>46090</v>
      </c>
      <c r="AO2" s="96">
        <v>46091</v>
      </c>
      <c r="AP2" s="96">
        <v>46092</v>
      </c>
      <c r="AQ2" s="96">
        <v>46093</v>
      </c>
      <c r="AR2" s="96">
        <v>46094</v>
      </c>
      <c r="AS2" s="96">
        <v>46095</v>
      </c>
      <c r="AT2" s="96">
        <v>46096</v>
      </c>
      <c r="AU2" s="96">
        <v>46097</v>
      </c>
      <c r="AV2" s="96">
        <v>46098</v>
      </c>
      <c r="AW2" s="96">
        <v>46099</v>
      </c>
      <c r="AX2" s="96">
        <v>46100</v>
      </c>
      <c r="AY2" s="96">
        <v>46101</v>
      </c>
      <c r="AZ2" s="96">
        <v>46102</v>
      </c>
      <c r="BA2" s="96">
        <v>46103</v>
      </c>
    </row>
    <row r="3" s="81" customFormat="1" customHeight="1" spans="1:53">
      <c r="A3" s="85" t="s">
        <v>247</v>
      </c>
      <c r="B3" s="86">
        <v>1.1</v>
      </c>
      <c r="C3" s="87" t="s">
        <v>18</v>
      </c>
      <c r="D3" s="88" t="s">
        <v>74</v>
      </c>
      <c r="E3" s="88" t="s">
        <v>75</v>
      </c>
      <c r="F3" s="86">
        <v>3</v>
      </c>
      <c r="G3" s="93" t="s">
        <v>76</v>
      </c>
      <c r="H3" s="37">
        <v>46078</v>
      </c>
      <c r="I3" s="37">
        <v>46099</v>
      </c>
      <c r="J3" s="97" t="s">
        <v>77</v>
      </c>
      <c r="K3" s="98" t="s">
        <v>248</v>
      </c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107" t="s">
        <v>78</v>
      </c>
      <c r="AC3" s="106"/>
      <c r="AD3" s="106"/>
      <c r="AE3" s="106"/>
      <c r="AF3" s="106"/>
      <c r="AG3" s="107" t="s">
        <v>79</v>
      </c>
      <c r="AH3" s="106"/>
      <c r="AI3" s="106"/>
      <c r="AJ3" s="106"/>
      <c r="AK3" s="106"/>
      <c r="AL3" s="106"/>
      <c r="AM3" s="107" t="s">
        <v>80</v>
      </c>
      <c r="AN3" s="106"/>
      <c r="AO3" s="106"/>
      <c r="AP3" s="106"/>
      <c r="AQ3" s="106"/>
      <c r="AR3" s="106"/>
      <c r="AS3" s="106"/>
      <c r="AT3" s="106"/>
      <c r="AU3" s="106"/>
      <c r="AV3" s="106"/>
      <c r="AW3" s="107" t="s">
        <v>81</v>
      </c>
      <c r="AX3" s="106"/>
      <c r="AY3" s="106"/>
      <c r="AZ3" s="106"/>
      <c r="BA3" s="106"/>
    </row>
    <row r="4" s="81" customFormat="1" customHeight="1" spans="1:53">
      <c r="A4" s="85"/>
      <c r="B4" s="89"/>
      <c r="C4" s="90"/>
      <c r="D4" s="91"/>
      <c r="E4" s="91"/>
      <c r="F4" s="89"/>
      <c r="G4" s="93" t="s">
        <v>82</v>
      </c>
      <c r="H4" s="94">
        <v>46092</v>
      </c>
      <c r="I4" s="37"/>
      <c r="J4" s="100"/>
      <c r="K4" s="10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6"/>
      <c r="AN4" s="106"/>
      <c r="AO4" s="106"/>
      <c r="AP4" s="102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</row>
    <row r="5" s="81" customFormat="1" ht="41" customHeight="1" spans="1:53">
      <c r="A5" s="85"/>
      <c r="B5" s="86">
        <v>1.4</v>
      </c>
      <c r="C5" s="87" t="s">
        <v>83</v>
      </c>
      <c r="D5" s="88" t="s">
        <v>84</v>
      </c>
      <c r="E5" s="88" t="s">
        <v>85</v>
      </c>
      <c r="F5" s="86">
        <v>3</v>
      </c>
      <c r="G5" s="93" t="s">
        <v>76</v>
      </c>
      <c r="H5" s="37">
        <v>46078</v>
      </c>
      <c r="I5" s="37">
        <f>H5+14</f>
        <v>46092</v>
      </c>
      <c r="J5" s="97" t="s">
        <v>77</v>
      </c>
      <c r="K5" s="103"/>
      <c r="L5" s="104"/>
      <c r="M5" s="108"/>
      <c r="N5" s="108"/>
      <c r="O5" s="108"/>
      <c r="P5" s="104"/>
      <c r="Q5" s="108"/>
      <c r="R5" s="108"/>
      <c r="S5" s="108"/>
      <c r="T5" s="108"/>
      <c r="U5" s="104"/>
      <c r="V5" s="108"/>
      <c r="W5" s="108"/>
      <c r="X5" s="108"/>
      <c r="Y5" s="108"/>
      <c r="Z5" s="104"/>
      <c r="AA5" s="106"/>
      <c r="AB5" s="107" t="s">
        <v>78</v>
      </c>
      <c r="AC5" s="106"/>
      <c r="AD5" s="106"/>
      <c r="AE5" s="106"/>
      <c r="AF5" s="107" t="s">
        <v>86</v>
      </c>
      <c r="AG5" s="106"/>
      <c r="AH5" s="106"/>
      <c r="AI5" s="106"/>
      <c r="AJ5" s="106"/>
      <c r="AK5" s="107" t="s">
        <v>87</v>
      </c>
      <c r="AL5" s="106"/>
      <c r="AM5" s="106"/>
      <c r="AN5" s="106"/>
      <c r="AO5" s="106"/>
      <c r="AP5" s="107" t="s">
        <v>88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</row>
    <row r="6" s="81" customFormat="1" customHeight="1" spans="1:53">
      <c r="A6" s="85"/>
      <c r="B6" s="89"/>
      <c r="C6" s="90"/>
      <c r="D6" s="91"/>
      <c r="E6" s="91"/>
      <c r="F6" s="89"/>
      <c r="G6" s="93" t="s">
        <v>82</v>
      </c>
      <c r="H6" s="94">
        <v>46092</v>
      </c>
      <c r="I6" s="37"/>
      <c r="J6" s="100"/>
      <c r="K6" s="105"/>
      <c r="L6" s="106"/>
      <c r="M6" s="106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</row>
    <row r="7" s="82" customFormat="1" customHeight="1" spans="1:53">
      <c r="A7" s="85"/>
      <c r="B7" s="86">
        <v>1.6</v>
      </c>
      <c r="C7" s="87" t="s">
        <v>35</v>
      </c>
      <c r="D7" s="88" t="s">
        <v>89</v>
      </c>
      <c r="E7" s="88" t="s">
        <v>90</v>
      </c>
      <c r="F7" s="95">
        <v>3</v>
      </c>
      <c r="G7" s="93" t="s">
        <v>76</v>
      </c>
      <c r="H7" s="37">
        <v>46062</v>
      </c>
      <c r="I7" s="37">
        <v>46066</v>
      </c>
      <c r="J7" s="97" t="s">
        <v>77</v>
      </c>
      <c r="K7" s="86"/>
      <c r="L7" s="107" t="s">
        <v>78</v>
      </c>
      <c r="M7" s="106"/>
      <c r="N7" s="106"/>
      <c r="O7" s="106"/>
      <c r="P7" s="107" t="s">
        <v>92</v>
      </c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06"/>
      <c r="AU7" s="106"/>
      <c r="AV7" s="106"/>
      <c r="AW7" s="106"/>
      <c r="AX7" s="106"/>
      <c r="AY7" s="106"/>
      <c r="AZ7" s="106"/>
      <c r="BA7" s="106"/>
    </row>
    <row r="8" s="82" customFormat="1" customHeight="1" spans="1:53">
      <c r="A8" s="85"/>
      <c r="B8" s="89"/>
      <c r="C8" s="90"/>
      <c r="D8" s="91"/>
      <c r="E8" s="91"/>
      <c r="F8" s="95"/>
      <c r="G8" s="93" t="s">
        <v>82</v>
      </c>
      <c r="H8" s="94">
        <v>46092</v>
      </c>
      <c r="I8" s="37"/>
      <c r="J8" s="100"/>
      <c r="K8" s="89"/>
      <c r="L8" s="99"/>
      <c r="M8" s="99"/>
      <c r="N8" s="110"/>
      <c r="O8" s="110"/>
      <c r="P8" s="110"/>
      <c r="Q8" s="106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</row>
    <row r="9" s="79" customFormat="1" customHeight="1" spans="1:53">
      <c r="A9" s="85"/>
      <c r="B9" s="86">
        <v>1.7</v>
      </c>
      <c r="C9" s="87" t="s">
        <v>38</v>
      </c>
      <c r="D9" s="88" t="s">
        <v>93</v>
      </c>
      <c r="E9" s="88" t="s">
        <v>94</v>
      </c>
      <c r="F9" s="93">
        <v>3</v>
      </c>
      <c r="G9" s="93" t="s">
        <v>76</v>
      </c>
      <c r="H9" s="37">
        <v>46062</v>
      </c>
      <c r="I9" s="37">
        <v>46066</v>
      </c>
      <c r="J9" s="97" t="s">
        <v>77</v>
      </c>
      <c r="K9" s="86"/>
      <c r="L9" s="107" t="s">
        <v>78</v>
      </c>
      <c r="M9" s="106"/>
      <c r="N9" s="106"/>
      <c r="O9" s="110"/>
      <c r="P9" s="111" t="s">
        <v>95</v>
      </c>
      <c r="Q9" s="106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</row>
    <row r="10" s="79" customFormat="1" customHeight="1" spans="1:53">
      <c r="A10" s="85"/>
      <c r="B10" s="89"/>
      <c r="C10" s="90"/>
      <c r="D10" s="91"/>
      <c r="E10" s="91"/>
      <c r="F10" s="93"/>
      <c r="G10" s="93" t="s">
        <v>82</v>
      </c>
      <c r="H10" s="94">
        <v>46092</v>
      </c>
      <c r="I10" s="37"/>
      <c r="J10" s="100"/>
      <c r="K10" s="89"/>
      <c r="L10" s="99"/>
      <c r="M10" s="9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10"/>
      <c r="AB10" s="110"/>
      <c r="AC10" s="110"/>
      <c r="AD10" s="110"/>
      <c r="AE10" s="110"/>
      <c r="AF10" s="110"/>
      <c r="AG10" s="110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09"/>
      <c r="BA10" s="109"/>
    </row>
    <row r="14" s="79" customFormat="1" customHeight="1" spans="2:11">
      <c r="B14" s="80" t="s">
        <v>108</v>
      </c>
      <c r="C14" s="83"/>
      <c r="D14" s="83"/>
      <c r="E14" s="83"/>
      <c r="F14" s="80"/>
      <c r="G14" s="80"/>
      <c r="H14" s="80"/>
      <c r="I14" s="80"/>
      <c r="J14" s="80"/>
      <c r="K14" s="80"/>
    </row>
    <row r="16" s="79" customFormat="1" customHeight="1" spans="2:11">
      <c r="B16" s="80" t="s">
        <v>76</v>
      </c>
      <c r="C16" s="83"/>
      <c r="D16" s="83"/>
      <c r="E16" s="83"/>
      <c r="F16" s="80"/>
      <c r="G16" s="80"/>
      <c r="H16" s="80"/>
      <c r="I16" s="80"/>
      <c r="J16" s="80"/>
      <c r="K16" s="80"/>
    </row>
    <row r="17" s="79" customFormat="1" customHeight="1" spans="2:11">
      <c r="B17" s="80" t="s">
        <v>82</v>
      </c>
      <c r="C17" s="83"/>
      <c r="D17" s="83"/>
      <c r="E17" s="83"/>
      <c r="F17" s="80"/>
      <c r="G17" s="80"/>
      <c r="H17" s="80"/>
      <c r="I17" s="80"/>
      <c r="J17" s="80"/>
      <c r="K17" s="80"/>
    </row>
    <row r="18" s="79" customFormat="1" customHeight="1" spans="2:11">
      <c r="B18" s="92"/>
      <c r="C18" s="83"/>
      <c r="D18" s="83"/>
      <c r="E18" s="83"/>
      <c r="F18" s="80"/>
      <c r="G18" s="80"/>
      <c r="H18" s="80"/>
      <c r="I18" s="80"/>
      <c r="J18" s="80"/>
      <c r="K18" s="80"/>
    </row>
  </sheetData>
  <mergeCells count="29">
    <mergeCell ref="A3:A10"/>
    <mergeCell ref="B3:B4"/>
    <mergeCell ref="B5:B6"/>
    <mergeCell ref="B7:B8"/>
    <mergeCell ref="B9:B10"/>
    <mergeCell ref="C3:C4"/>
    <mergeCell ref="C5:C6"/>
    <mergeCell ref="C7:C8"/>
    <mergeCell ref="C9:C10"/>
    <mergeCell ref="D3:D4"/>
    <mergeCell ref="D5:D6"/>
    <mergeCell ref="D7:D8"/>
    <mergeCell ref="D9:D10"/>
    <mergeCell ref="E3:E4"/>
    <mergeCell ref="E5:E6"/>
    <mergeCell ref="E7:E8"/>
    <mergeCell ref="E9:E10"/>
    <mergeCell ref="F3:F4"/>
    <mergeCell ref="F5:F6"/>
    <mergeCell ref="F7:F8"/>
    <mergeCell ref="F9:F10"/>
    <mergeCell ref="J3:J4"/>
    <mergeCell ref="J5:J6"/>
    <mergeCell ref="J7:J8"/>
    <mergeCell ref="J9:J10"/>
    <mergeCell ref="K3:K4"/>
    <mergeCell ref="K5:K6"/>
    <mergeCell ref="K7:K8"/>
    <mergeCell ref="K9:K10"/>
  </mergeCells>
  <conditionalFormatting sqref="J3">
    <cfRule type="cellIs" dxfId="0" priority="5" operator="equal">
      <formula>"Ongoing"</formula>
    </cfRule>
    <cfRule type="cellIs" dxfId="1" priority="4" operator="equal">
      <formula>"Not started"</formula>
    </cfRule>
    <cfRule type="cellIs" dxfId="2" priority="3" operator="equal">
      <formula>"Completed"</formula>
    </cfRule>
    <cfRule type="cellIs" dxfId="3" priority="2" operator="equal">
      <formula>"Termination"</formula>
    </cfRule>
    <cfRule type="cellIs" dxfId="4" priority="1" operator="equal">
      <formula>"Delayed"</formula>
    </cfRule>
  </conditionalFormatting>
  <conditionalFormatting sqref="J5">
    <cfRule type="cellIs" dxfId="4" priority="41" operator="equal">
      <formula>"Delayed"</formula>
    </cfRule>
    <cfRule type="cellIs" dxfId="3" priority="42" operator="equal">
      <formula>"Termination"</formula>
    </cfRule>
    <cfRule type="cellIs" dxfId="2" priority="43" operator="equal">
      <formula>"Completed"</formula>
    </cfRule>
    <cfRule type="cellIs" dxfId="1" priority="44" operator="equal">
      <formula>"Not started"</formula>
    </cfRule>
    <cfRule type="cellIs" dxfId="0" priority="45" operator="equal">
      <formula>"Ongoing"</formula>
    </cfRule>
  </conditionalFormatting>
  <conditionalFormatting sqref="J7">
    <cfRule type="cellIs" dxfId="4" priority="36" operator="equal">
      <formula>"Delayed"</formula>
    </cfRule>
    <cfRule type="cellIs" dxfId="3" priority="37" operator="equal">
      <formula>"Termination"</formula>
    </cfRule>
    <cfRule type="cellIs" dxfId="2" priority="38" operator="equal">
      <formula>"Completed"</formula>
    </cfRule>
    <cfRule type="cellIs" dxfId="1" priority="39" operator="equal">
      <formula>"Not started"</formula>
    </cfRule>
    <cfRule type="cellIs" dxfId="0" priority="40" operator="equal">
      <formula>"Ongoing"</formula>
    </cfRule>
  </conditionalFormatting>
  <conditionalFormatting sqref="J9">
    <cfRule type="cellIs" dxfId="4" priority="26" operator="equal">
      <formula>"Delayed"</formula>
    </cfRule>
    <cfRule type="cellIs" dxfId="3" priority="27" operator="equal">
      <formula>"Termination"</formula>
    </cfRule>
    <cfRule type="cellIs" dxfId="2" priority="28" operator="equal">
      <formula>"Completed"</formula>
    </cfRule>
    <cfRule type="cellIs" dxfId="1" priority="29" operator="equal">
      <formula>"Not started"</formula>
    </cfRule>
    <cfRule type="cellIs" dxfId="0" priority="30" operator="equal">
      <formula>"Ongoing"</formula>
    </cfRule>
  </conditionalFormatting>
  <dataValidations count="1">
    <dataValidation type="list" allowBlank="1" showInputMessage="1" showErrorMessage="1" sqref="J3 J5 J7 J9">
      <formula1>"Ongoing,Not started,Completed,Termination,Delayed"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"/>
  <sheetViews>
    <sheetView zoomScale="70" zoomScaleNormal="70" workbookViewId="0">
      <pane xSplit="9" ySplit="2" topLeftCell="J3" activePane="bottomRight" state="frozen"/>
      <selection/>
      <selection pane="topRight"/>
      <selection pane="bottomLeft"/>
      <selection pane="bottomRight" activeCell="G33" sqref="G33:G34"/>
    </sheetView>
  </sheetViews>
  <sheetFormatPr defaultColWidth="8.73333333333333" defaultRowHeight="14.25"/>
  <cols>
    <col min="1" max="2" width="8.81333333333333" style="4" hidden="1" customWidth="1"/>
    <col min="3" max="3" width="8.81333333333333" style="4" customWidth="1"/>
    <col min="4" max="4" width="19.5466666666667" style="4" customWidth="1"/>
    <col min="5" max="5" width="13.0755555555556" style="4" customWidth="1"/>
    <col min="6" max="6" width="24.4533333333333" style="6" customWidth="1"/>
    <col min="7" max="7" width="9.09333333333333" style="4" customWidth="1"/>
    <col min="8" max="8" width="12.1866666666667" style="4" customWidth="1"/>
    <col min="9" max="9" width="11.5466666666667" style="6" customWidth="1"/>
    <col min="10" max="10" width="41.5644444444444" style="6" customWidth="1"/>
    <col min="11" max="11" width="13.76" style="29" customWidth="1"/>
    <col min="12" max="12" width="11.4177777777778" style="30" customWidth="1"/>
    <col min="13" max="13" width="13.3333333333333" style="6" customWidth="1"/>
    <col min="14" max="14" width="11.4177777777778" style="30" customWidth="1"/>
    <col min="15" max="15" width="14.2755555555556" style="2" customWidth="1"/>
    <col min="16" max="16" width="12.4266666666667" style="30" customWidth="1"/>
    <col min="17" max="17" width="13.9644444444444" style="30" customWidth="1"/>
    <col min="18" max="18" width="20" style="30" customWidth="1"/>
    <col min="19" max="20" width="11.4177777777778" style="31" customWidth="1"/>
    <col min="21" max="21" width="13.6311111111111" style="31" customWidth="1"/>
    <col min="22" max="22" width="13.64" style="7" customWidth="1"/>
    <col min="23" max="23" width="10.2666666666667" style="31" customWidth="1"/>
    <col min="24" max="24" width="13.3244444444444" style="7" customWidth="1"/>
    <col min="25" max="25" width="58.64" style="4" customWidth="1"/>
    <col min="26" max="16384" width="8.73333333333333" style="4"/>
  </cols>
  <sheetData>
    <row r="1" spans="25:25">
      <c r="Y1" s="78"/>
    </row>
    <row r="2" ht="28.5" spans="1:25">
      <c r="A2" s="8" t="s">
        <v>109</v>
      </c>
      <c r="B2" s="8" t="s">
        <v>110</v>
      </c>
      <c r="C2" s="8" t="s">
        <v>111</v>
      </c>
      <c r="D2" s="12" t="s">
        <v>112</v>
      </c>
      <c r="E2" s="13" t="s">
        <v>63</v>
      </c>
      <c r="F2" s="13" t="s">
        <v>113</v>
      </c>
      <c r="G2" s="13" t="s">
        <v>114</v>
      </c>
      <c r="H2" s="13" t="s">
        <v>115</v>
      </c>
      <c r="I2" s="38" t="s">
        <v>116</v>
      </c>
      <c r="J2" s="38" t="s">
        <v>108</v>
      </c>
      <c r="K2" s="39" t="s">
        <v>249</v>
      </c>
      <c r="L2" s="40" t="s">
        <v>250</v>
      </c>
      <c r="M2" s="40" t="s">
        <v>251</v>
      </c>
      <c r="N2" s="61" t="s">
        <v>252</v>
      </c>
      <c r="O2" s="61" t="s">
        <v>253</v>
      </c>
      <c r="P2" s="62" t="s">
        <v>254</v>
      </c>
      <c r="Q2" s="62" t="s">
        <v>255</v>
      </c>
      <c r="R2" s="67" t="s">
        <v>256</v>
      </c>
      <c r="S2" s="68" t="s">
        <v>257</v>
      </c>
      <c r="T2" s="68" t="s">
        <v>258</v>
      </c>
      <c r="U2" s="62" t="s">
        <v>123</v>
      </c>
      <c r="V2" s="75" t="s">
        <v>259</v>
      </c>
      <c r="W2" s="62" t="s">
        <v>125</v>
      </c>
      <c r="X2" s="75" t="s">
        <v>126</v>
      </c>
      <c r="Y2" s="23" t="s">
        <v>127</v>
      </c>
    </row>
    <row r="3" spans="1:25">
      <c r="A3" s="9"/>
      <c r="B3" s="9" t="s">
        <v>128</v>
      </c>
      <c r="C3" s="9" t="s">
        <v>260</v>
      </c>
      <c r="D3" s="15" t="s">
        <v>240</v>
      </c>
      <c r="E3" s="9" t="s">
        <v>131</v>
      </c>
      <c r="F3" s="9"/>
      <c r="G3" s="9" t="s">
        <v>78</v>
      </c>
      <c r="H3" s="32"/>
      <c r="I3" s="41" t="s">
        <v>245</v>
      </c>
      <c r="J3" s="42"/>
      <c r="K3" s="43"/>
      <c r="L3" s="28"/>
      <c r="M3" s="18"/>
      <c r="N3" s="28"/>
      <c r="O3" s="9"/>
      <c r="P3" s="28"/>
      <c r="Q3" s="28"/>
      <c r="R3" s="28"/>
      <c r="S3" s="69"/>
      <c r="T3" s="69"/>
      <c r="U3" s="70"/>
      <c r="V3" s="25"/>
      <c r="W3" s="70"/>
      <c r="X3" s="25"/>
      <c r="Y3" s="28"/>
    </row>
    <row r="4" spans="1:25">
      <c r="A4" s="9"/>
      <c r="B4" s="9" t="s">
        <v>128</v>
      </c>
      <c r="C4" s="9" t="s">
        <v>260</v>
      </c>
      <c r="D4" s="15"/>
      <c r="E4" s="9"/>
      <c r="F4" s="9"/>
      <c r="G4" s="9" t="s">
        <v>92</v>
      </c>
      <c r="H4" s="32"/>
      <c r="I4" s="41"/>
      <c r="J4" s="44"/>
      <c r="K4" s="18"/>
      <c r="L4" s="18"/>
      <c r="M4" s="18"/>
      <c r="N4" s="18"/>
      <c r="O4" s="18"/>
      <c r="P4" s="18"/>
      <c r="Q4" s="18"/>
      <c r="R4" s="18"/>
      <c r="S4" s="69"/>
      <c r="T4" s="69"/>
      <c r="U4" s="70"/>
      <c r="V4" s="25"/>
      <c r="W4" s="70"/>
      <c r="X4" s="25"/>
      <c r="Y4" s="28"/>
    </row>
    <row r="5" spans="1:25">
      <c r="A5" s="9"/>
      <c r="B5" s="9" t="s">
        <v>128</v>
      </c>
      <c r="C5" s="9" t="s">
        <v>260</v>
      </c>
      <c r="D5" s="15"/>
      <c r="E5" s="9"/>
      <c r="F5" s="9"/>
      <c r="G5" s="9" t="s">
        <v>107</v>
      </c>
      <c r="H5" s="33"/>
      <c r="I5" s="41"/>
      <c r="J5" s="44"/>
      <c r="K5" s="18"/>
      <c r="L5" s="18"/>
      <c r="M5" s="18"/>
      <c r="N5" s="18"/>
      <c r="O5" s="18"/>
      <c r="P5" s="18"/>
      <c r="Q5" s="18"/>
      <c r="R5" s="18"/>
      <c r="S5" s="70"/>
      <c r="T5" s="70"/>
      <c r="U5" s="70"/>
      <c r="V5" s="25"/>
      <c r="W5" s="70"/>
      <c r="X5" s="25"/>
      <c r="Y5" s="28"/>
    </row>
    <row r="6" spans="1:25">
      <c r="A6" s="9"/>
      <c r="B6" s="9" t="s">
        <v>128</v>
      </c>
      <c r="C6" s="9" t="s">
        <v>260</v>
      </c>
      <c r="D6" s="15"/>
      <c r="E6" s="9"/>
      <c r="F6" s="9"/>
      <c r="G6" s="9" t="s">
        <v>133</v>
      </c>
      <c r="H6" s="34"/>
      <c r="I6" s="41"/>
      <c r="J6" s="44"/>
      <c r="K6" s="18"/>
      <c r="L6" s="18"/>
      <c r="M6" s="18"/>
      <c r="N6" s="18"/>
      <c r="O6" s="18"/>
      <c r="P6" s="18"/>
      <c r="Q6" s="18"/>
      <c r="R6" s="18"/>
      <c r="S6" s="71"/>
      <c r="T6" s="71"/>
      <c r="U6" s="71"/>
      <c r="V6" s="27"/>
      <c r="W6" s="71"/>
      <c r="X6" s="27"/>
      <c r="Y6" s="28"/>
    </row>
    <row r="7" spans="1:25">
      <c r="A7" s="9"/>
      <c r="B7" s="9" t="s">
        <v>128</v>
      </c>
      <c r="C7" s="9" t="s">
        <v>260</v>
      </c>
      <c r="D7" s="15"/>
      <c r="E7" s="9" t="s">
        <v>134</v>
      </c>
      <c r="F7" s="9"/>
      <c r="G7" s="9" t="s">
        <v>78</v>
      </c>
      <c r="H7" s="35"/>
      <c r="I7" s="41"/>
      <c r="J7" s="44"/>
      <c r="K7" s="18"/>
      <c r="L7" s="18"/>
      <c r="M7" s="18"/>
      <c r="N7" s="18"/>
      <c r="O7" s="18"/>
      <c r="P7" s="18"/>
      <c r="Q7" s="18"/>
      <c r="R7" s="18"/>
      <c r="S7" s="69"/>
      <c r="T7" s="69"/>
      <c r="U7" s="70"/>
      <c r="V7" s="25"/>
      <c r="W7" s="70"/>
      <c r="X7" s="25"/>
      <c r="Y7" s="28"/>
    </row>
    <row r="8" spans="1:25">
      <c r="A8" s="9"/>
      <c r="B8" s="9" t="s">
        <v>128</v>
      </c>
      <c r="C8" s="9" t="s">
        <v>260</v>
      </c>
      <c r="D8" s="15"/>
      <c r="E8" s="9"/>
      <c r="F8" s="9"/>
      <c r="G8" s="9" t="s">
        <v>92</v>
      </c>
      <c r="H8" s="35"/>
      <c r="I8" s="41"/>
      <c r="J8" s="44"/>
      <c r="K8" s="18"/>
      <c r="L8" s="18"/>
      <c r="M8" s="18"/>
      <c r="N8" s="18"/>
      <c r="O8" s="18"/>
      <c r="P8" s="18"/>
      <c r="Q8" s="18"/>
      <c r="R8" s="18"/>
      <c r="S8" s="69"/>
      <c r="T8" s="69"/>
      <c r="U8" s="70"/>
      <c r="V8" s="25"/>
      <c r="W8" s="70"/>
      <c r="X8" s="25"/>
      <c r="Y8" s="28"/>
    </row>
    <row r="9" spans="1:25">
      <c r="A9" s="9"/>
      <c r="B9" s="9" t="s">
        <v>128</v>
      </c>
      <c r="C9" s="9" t="s">
        <v>260</v>
      </c>
      <c r="D9" s="15"/>
      <c r="E9" s="9"/>
      <c r="F9" s="9"/>
      <c r="G9" s="9" t="s">
        <v>107</v>
      </c>
      <c r="H9" s="36"/>
      <c r="I9" s="41"/>
      <c r="J9" s="44"/>
      <c r="K9" s="18"/>
      <c r="L9" s="18"/>
      <c r="M9" s="18"/>
      <c r="N9" s="18"/>
      <c r="O9" s="18"/>
      <c r="P9" s="18"/>
      <c r="Q9" s="18"/>
      <c r="R9" s="18"/>
      <c r="S9" s="70"/>
      <c r="T9" s="70"/>
      <c r="U9" s="70"/>
      <c r="V9" s="25"/>
      <c r="W9" s="70"/>
      <c r="X9" s="25"/>
      <c r="Y9" s="28"/>
    </row>
    <row r="10" spans="1:25">
      <c r="A10" s="9"/>
      <c r="B10" s="9" t="s">
        <v>128</v>
      </c>
      <c r="C10" s="9" t="s">
        <v>260</v>
      </c>
      <c r="D10" s="15"/>
      <c r="E10" s="9"/>
      <c r="F10" s="9"/>
      <c r="G10" s="9" t="s">
        <v>133</v>
      </c>
      <c r="H10" s="34"/>
      <c r="I10" s="41"/>
      <c r="J10" s="44"/>
      <c r="K10" s="18"/>
      <c r="L10" s="18"/>
      <c r="M10" s="18"/>
      <c r="N10" s="18"/>
      <c r="O10" s="18"/>
      <c r="P10" s="18"/>
      <c r="Q10" s="18"/>
      <c r="R10" s="18"/>
      <c r="S10" s="71"/>
      <c r="T10" s="71"/>
      <c r="U10" s="71"/>
      <c r="V10" s="27"/>
      <c r="W10" s="71"/>
      <c r="X10" s="27"/>
      <c r="Y10" s="28"/>
    </row>
    <row r="11" spans="1:25">
      <c r="A11" s="9"/>
      <c r="B11" s="9" t="s">
        <v>128</v>
      </c>
      <c r="C11" s="9" t="s">
        <v>260</v>
      </c>
      <c r="D11" s="15"/>
      <c r="E11" s="9" t="s">
        <v>136</v>
      </c>
      <c r="F11" s="9"/>
      <c r="G11" s="9" t="s">
        <v>78</v>
      </c>
      <c r="H11" s="35"/>
      <c r="I11" s="41"/>
      <c r="J11" s="44"/>
      <c r="K11" s="18"/>
      <c r="L11" s="18"/>
      <c r="M11" s="18"/>
      <c r="N11" s="18"/>
      <c r="O11" s="18"/>
      <c r="P11" s="18"/>
      <c r="Q11" s="18"/>
      <c r="R11" s="18"/>
      <c r="S11" s="69"/>
      <c r="T11" s="69"/>
      <c r="U11" s="70"/>
      <c r="V11" s="25"/>
      <c r="W11" s="70"/>
      <c r="X11" s="25"/>
      <c r="Y11" s="28"/>
    </row>
    <row r="12" spans="1:25">
      <c r="A12" s="9"/>
      <c r="B12" s="9" t="s">
        <v>128</v>
      </c>
      <c r="C12" s="9" t="s">
        <v>260</v>
      </c>
      <c r="D12" s="15"/>
      <c r="E12" s="9"/>
      <c r="F12" s="9"/>
      <c r="G12" s="9" t="s">
        <v>92</v>
      </c>
      <c r="H12" s="35"/>
      <c r="I12" s="41"/>
      <c r="J12" s="44"/>
      <c r="K12" s="18"/>
      <c r="L12" s="18"/>
      <c r="M12" s="18"/>
      <c r="N12" s="18"/>
      <c r="O12" s="18"/>
      <c r="P12" s="18"/>
      <c r="Q12" s="18"/>
      <c r="R12" s="18"/>
      <c r="S12" s="69"/>
      <c r="T12" s="69"/>
      <c r="U12" s="70"/>
      <c r="V12" s="25"/>
      <c r="W12" s="70"/>
      <c r="X12" s="25"/>
      <c r="Y12" s="28"/>
    </row>
    <row r="13" spans="1:25">
      <c r="A13" s="9"/>
      <c r="B13" s="9" t="s">
        <v>128</v>
      </c>
      <c r="C13" s="9" t="s">
        <v>260</v>
      </c>
      <c r="D13" s="15"/>
      <c r="E13" s="9"/>
      <c r="F13" s="9"/>
      <c r="G13" s="9" t="s">
        <v>107</v>
      </c>
      <c r="H13" s="36"/>
      <c r="I13" s="41"/>
      <c r="J13" s="44"/>
      <c r="K13" s="18"/>
      <c r="L13" s="18"/>
      <c r="M13" s="18"/>
      <c r="N13" s="18"/>
      <c r="O13" s="18"/>
      <c r="P13" s="18"/>
      <c r="Q13" s="18"/>
      <c r="R13" s="18"/>
      <c r="S13" s="70"/>
      <c r="T13" s="70"/>
      <c r="U13" s="70"/>
      <c r="V13" s="25"/>
      <c r="W13" s="70"/>
      <c r="X13" s="25"/>
      <c r="Y13" s="28"/>
    </row>
    <row r="14" spans="1:25">
      <c r="A14" s="9"/>
      <c r="B14" s="9" t="s">
        <v>128</v>
      </c>
      <c r="C14" s="9" t="s">
        <v>260</v>
      </c>
      <c r="D14" s="15"/>
      <c r="E14" s="9"/>
      <c r="F14" s="9"/>
      <c r="G14" s="9" t="s">
        <v>133</v>
      </c>
      <c r="H14" s="36"/>
      <c r="I14" s="45"/>
      <c r="J14" s="46"/>
      <c r="K14" s="18"/>
      <c r="L14" s="18"/>
      <c r="M14" s="18"/>
      <c r="N14" s="18"/>
      <c r="O14" s="18"/>
      <c r="P14" s="18"/>
      <c r="Q14" s="18"/>
      <c r="R14" s="18"/>
      <c r="S14" s="70"/>
      <c r="T14" s="70"/>
      <c r="U14" s="70"/>
      <c r="V14" s="25"/>
      <c r="W14" s="70"/>
      <c r="X14" s="25"/>
      <c r="Y14" s="28"/>
    </row>
    <row r="15" spans="1:25">
      <c r="A15" s="10"/>
      <c r="B15" s="9" t="s">
        <v>128</v>
      </c>
      <c r="C15" s="9" t="s">
        <v>260</v>
      </c>
      <c r="D15" s="15" t="s">
        <v>241</v>
      </c>
      <c r="E15" s="9" t="s">
        <v>131</v>
      </c>
      <c r="F15" s="16"/>
      <c r="G15" s="9" t="s">
        <v>78</v>
      </c>
      <c r="H15" s="37"/>
      <c r="I15" s="47" t="s">
        <v>245</v>
      </c>
      <c r="J15" s="48"/>
      <c r="K15" s="49"/>
      <c r="L15" s="28"/>
      <c r="M15" s="22"/>
      <c r="N15" s="28"/>
      <c r="O15" s="9"/>
      <c r="P15" s="28"/>
      <c r="Q15" s="28"/>
      <c r="R15" s="22"/>
      <c r="S15" s="69"/>
      <c r="T15" s="69"/>
      <c r="U15" s="70"/>
      <c r="V15" s="25"/>
      <c r="W15" s="70"/>
      <c r="X15" s="25"/>
      <c r="Y15" s="28"/>
    </row>
    <row r="16" spans="1:25">
      <c r="A16" s="10"/>
      <c r="B16" s="9" t="s">
        <v>128</v>
      </c>
      <c r="C16" s="9" t="s">
        <v>260</v>
      </c>
      <c r="D16" s="15"/>
      <c r="E16" s="9"/>
      <c r="F16" s="16"/>
      <c r="G16" s="9" t="s">
        <v>141</v>
      </c>
      <c r="H16" s="37"/>
      <c r="I16" s="47"/>
      <c r="J16" s="50"/>
      <c r="K16" s="51"/>
      <c r="L16" s="36"/>
      <c r="M16" s="63"/>
      <c r="N16" s="36"/>
      <c r="O16" s="63"/>
      <c r="P16" s="36"/>
      <c r="Q16" s="63"/>
      <c r="R16" s="54"/>
      <c r="S16" s="72"/>
      <c r="T16" s="73"/>
      <c r="U16" s="72"/>
      <c r="V16" s="76"/>
      <c r="W16" s="72"/>
      <c r="X16" s="76"/>
      <c r="Y16" s="28"/>
    </row>
    <row r="17" spans="1:25">
      <c r="A17" s="10"/>
      <c r="B17" s="9" t="s">
        <v>128</v>
      </c>
      <c r="C17" s="9" t="s">
        <v>260</v>
      </c>
      <c r="D17" s="15"/>
      <c r="E17" s="9"/>
      <c r="F17" s="16"/>
      <c r="G17" s="9" t="s">
        <v>142</v>
      </c>
      <c r="H17" s="37"/>
      <c r="I17" s="47"/>
      <c r="J17" s="50"/>
      <c r="K17" s="51"/>
      <c r="L17" s="36"/>
      <c r="M17" s="63"/>
      <c r="N17" s="36"/>
      <c r="O17" s="63"/>
      <c r="P17" s="64"/>
      <c r="Q17" s="63"/>
      <c r="R17" s="73"/>
      <c r="S17" s="72"/>
      <c r="T17" s="72"/>
      <c r="U17" s="72"/>
      <c r="V17" s="76"/>
      <c r="W17" s="72"/>
      <c r="X17" s="76"/>
      <c r="Y17" s="28"/>
    </row>
    <row r="18" ht="16.5" spans="1:25">
      <c r="A18" s="10"/>
      <c r="B18" s="9" t="s">
        <v>128</v>
      </c>
      <c r="C18" s="9" t="s">
        <v>260</v>
      </c>
      <c r="D18" s="15"/>
      <c r="E18" s="9"/>
      <c r="F18" s="16"/>
      <c r="G18" s="9" t="s">
        <v>143</v>
      </c>
      <c r="H18" s="34"/>
      <c r="I18" s="47"/>
      <c r="J18" s="50"/>
      <c r="K18" s="52"/>
      <c r="L18" s="53"/>
      <c r="M18" s="65"/>
      <c r="N18" s="53"/>
      <c r="O18" s="65"/>
      <c r="P18" s="66"/>
      <c r="Q18" s="65"/>
      <c r="R18" s="54"/>
      <c r="S18" s="71"/>
      <c r="T18" s="71"/>
      <c r="U18" s="71"/>
      <c r="V18" s="27"/>
      <c r="W18" s="71"/>
      <c r="X18" s="27"/>
      <c r="Y18" s="28"/>
    </row>
    <row r="19" spans="1:25">
      <c r="A19" s="10"/>
      <c r="B19" s="9" t="s">
        <v>128</v>
      </c>
      <c r="C19" s="9" t="s">
        <v>260</v>
      </c>
      <c r="D19" s="15"/>
      <c r="E19" s="9" t="s">
        <v>134</v>
      </c>
      <c r="F19" s="16"/>
      <c r="G19" s="9" t="s">
        <v>78</v>
      </c>
      <c r="H19" s="37"/>
      <c r="I19" s="47"/>
      <c r="J19" s="50"/>
      <c r="K19" s="49"/>
      <c r="L19" s="54"/>
      <c r="M19" s="18"/>
      <c r="N19" s="54"/>
      <c r="O19" s="36"/>
      <c r="P19" s="54"/>
      <c r="Q19" s="54"/>
      <c r="R19" s="54"/>
      <c r="S19" s="74"/>
      <c r="T19" s="74"/>
      <c r="U19" s="72"/>
      <c r="V19" s="76"/>
      <c r="W19" s="72"/>
      <c r="X19" s="76"/>
      <c r="Y19" s="28"/>
    </row>
    <row r="20" spans="1:25">
      <c r="A20" s="10"/>
      <c r="B20" s="9" t="s">
        <v>128</v>
      </c>
      <c r="C20" s="9" t="s">
        <v>260</v>
      </c>
      <c r="D20" s="15"/>
      <c r="E20" s="9"/>
      <c r="F20" s="16"/>
      <c r="G20" s="9" t="s">
        <v>141</v>
      </c>
      <c r="H20" s="37"/>
      <c r="I20" s="47"/>
      <c r="J20" s="50"/>
      <c r="K20" s="51"/>
      <c r="L20" s="36"/>
      <c r="M20" s="63"/>
      <c r="N20" s="36"/>
      <c r="O20" s="63"/>
      <c r="P20" s="36"/>
      <c r="Q20" s="63"/>
      <c r="R20" s="54"/>
      <c r="S20" s="72"/>
      <c r="T20" s="72"/>
      <c r="U20" s="72"/>
      <c r="V20" s="76"/>
      <c r="W20" s="72"/>
      <c r="X20" s="76"/>
      <c r="Y20" s="28"/>
    </row>
    <row r="21" spans="1:25">
      <c r="A21" s="10"/>
      <c r="B21" s="9" t="s">
        <v>128</v>
      </c>
      <c r="C21" s="9" t="s">
        <v>260</v>
      </c>
      <c r="D21" s="15"/>
      <c r="E21" s="9"/>
      <c r="F21" s="16"/>
      <c r="G21" s="9" t="s">
        <v>142</v>
      </c>
      <c r="H21" s="37"/>
      <c r="I21" s="47"/>
      <c r="J21" s="50"/>
      <c r="K21" s="51"/>
      <c r="L21" s="36"/>
      <c r="M21" s="63"/>
      <c r="N21" s="36"/>
      <c r="O21" s="63"/>
      <c r="P21" s="64"/>
      <c r="Q21" s="63"/>
      <c r="R21" s="54"/>
      <c r="S21" s="72"/>
      <c r="T21" s="72"/>
      <c r="U21" s="72"/>
      <c r="V21" s="76"/>
      <c r="W21" s="72"/>
      <c r="X21" s="76"/>
      <c r="Y21" s="28"/>
    </row>
    <row r="22" ht="16.5" spans="1:25">
      <c r="A22" s="10"/>
      <c r="B22" s="9" t="s">
        <v>128</v>
      </c>
      <c r="C22" s="9" t="s">
        <v>260</v>
      </c>
      <c r="D22" s="15"/>
      <c r="E22" s="9"/>
      <c r="F22" s="16"/>
      <c r="G22" s="9" t="s">
        <v>143</v>
      </c>
      <c r="H22" s="34"/>
      <c r="I22" s="47"/>
      <c r="J22" s="50"/>
      <c r="K22" s="52"/>
      <c r="L22" s="53"/>
      <c r="M22" s="65"/>
      <c r="N22" s="53"/>
      <c r="O22" s="65"/>
      <c r="P22" s="66"/>
      <c r="Q22" s="65"/>
      <c r="R22" s="54"/>
      <c r="S22" s="71"/>
      <c r="T22" s="71"/>
      <c r="U22" s="71"/>
      <c r="V22" s="27"/>
      <c r="W22" s="71"/>
      <c r="X22" s="27"/>
      <c r="Y22" s="28"/>
    </row>
    <row r="23" spans="1:25">
      <c r="A23" s="10"/>
      <c r="B23" s="9" t="s">
        <v>128</v>
      </c>
      <c r="C23" s="9" t="s">
        <v>260</v>
      </c>
      <c r="D23" s="15"/>
      <c r="E23" s="9" t="s">
        <v>136</v>
      </c>
      <c r="F23" s="16"/>
      <c r="G23" s="9" t="s">
        <v>78</v>
      </c>
      <c r="H23" s="37"/>
      <c r="I23" s="47"/>
      <c r="J23" s="50"/>
      <c r="K23" s="49"/>
      <c r="L23" s="54"/>
      <c r="M23" s="18"/>
      <c r="N23" s="54"/>
      <c r="O23" s="36"/>
      <c r="P23" s="54"/>
      <c r="Q23" s="54"/>
      <c r="R23" s="54"/>
      <c r="S23" s="74"/>
      <c r="T23" s="74"/>
      <c r="U23" s="72"/>
      <c r="V23" s="76"/>
      <c r="W23" s="72"/>
      <c r="X23" s="76"/>
      <c r="Y23" s="28"/>
    </row>
    <row r="24" spans="1:25">
      <c r="A24" s="10"/>
      <c r="B24" s="9" t="s">
        <v>128</v>
      </c>
      <c r="C24" s="9" t="s">
        <v>260</v>
      </c>
      <c r="D24" s="15"/>
      <c r="E24" s="9"/>
      <c r="F24" s="16"/>
      <c r="G24" s="9" t="s">
        <v>141</v>
      </c>
      <c r="H24" s="37"/>
      <c r="I24" s="47"/>
      <c r="J24" s="50"/>
      <c r="K24" s="51"/>
      <c r="L24" s="36"/>
      <c r="M24" s="63"/>
      <c r="N24" s="36"/>
      <c r="O24" s="63"/>
      <c r="P24" s="36"/>
      <c r="Q24" s="63"/>
      <c r="R24" s="54"/>
      <c r="S24" s="72"/>
      <c r="T24" s="72"/>
      <c r="U24" s="72"/>
      <c r="V24" s="76"/>
      <c r="W24" s="72"/>
      <c r="X24" s="76"/>
      <c r="Y24" s="28"/>
    </row>
    <row r="25" spans="1:25">
      <c r="A25" s="10"/>
      <c r="B25" s="9" t="s">
        <v>128</v>
      </c>
      <c r="C25" s="9" t="s">
        <v>260</v>
      </c>
      <c r="D25" s="15"/>
      <c r="E25" s="9"/>
      <c r="F25" s="16"/>
      <c r="G25" s="9" t="s">
        <v>142</v>
      </c>
      <c r="H25" s="37"/>
      <c r="I25" s="47"/>
      <c r="J25" s="50"/>
      <c r="K25" s="51"/>
      <c r="L25" s="36"/>
      <c r="M25" s="63"/>
      <c r="N25" s="36"/>
      <c r="O25" s="63"/>
      <c r="P25" s="64"/>
      <c r="Q25" s="63"/>
      <c r="R25" s="54"/>
      <c r="S25" s="72"/>
      <c r="T25" s="72"/>
      <c r="U25" s="72"/>
      <c r="V25" s="76"/>
      <c r="W25" s="72"/>
      <c r="X25" s="76"/>
      <c r="Y25" s="28"/>
    </row>
    <row r="26" ht="16.5" spans="1:25">
      <c r="A26" s="10"/>
      <c r="B26" s="9" t="s">
        <v>128</v>
      </c>
      <c r="C26" s="9" t="s">
        <v>260</v>
      </c>
      <c r="D26" s="15"/>
      <c r="E26" s="9"/>
      <c r="F26" s="16"/>
      <c r="G26" s="9" t="s">
        <v>143</v>
      </c>
      <c r="H26" s="34"/>
      <c r="I26" s="55"/>
      <c r="J26" s="56"/>
      <c r="K26" s="52"/>
      <c r="L26" s="53"/>
      <c r="M26" s="65"/>
      <c r="N26" s="53"/>
      <c r="O26" s="65"/>
      <c r="P26" s="66"/>
      <c r="Q26" s="65"/>
      <c r="R26" s="54"/>
      <c r="S26" s="71"/>
      <c r="T26" s="71"/>
      <c r="U26" s="71"/>
      <c r="V26" s="27"/>
      <c r="W26" s="71"/>
      <c r="X26" s="27"/>
      <c r="Y26" s="28"/>
    </row>
    <row r="27" ht="32" customHeight="1" spans="1:25">
      <c r="A27" s="9"/>
      <c r="B27" s="9" t="s">
        <v>128</v>
      </c>
      <c r="C27" s="9" t="s">
        <v>260</v>
      </c>
      <c r="D27" s="15" t="s">
        <v>242</v>
      </c>
      <c r="E27" s="9" t="s">
        <v>131</v>
      </c>
      <c r="F27" s="18"/>
      <c r="G27" s="36" t="s">
        <v>78</v>
      </c>
      <c r="H27" s="35"/>
      <c r="I27" s="57" t="s">
        <v>245</v>
      </c>
      <c r="J27" s="58"/>
      <c r="K27" s="49"/>
      <c r="L27" s="28"/>
      <c r="M27" s="18"/>
      <c r="N27" s="28"/>
      <c r="O27" s="9"/>
      <c r="P27" s="28"/>
      <c r="Q27" s="28"/>
      <c r="R27" s="28"/>
      <c r="S27" s="69"/>
      <c r="T27" s="69"/>
      <c r="U27" s="70"/>
      <c r="V27" s="25"/>
      <c r="W27" s="70"/>
      <c r="X27" s="25"/>
      <c r="Y27" s="28"/>
    </row>
    <row r="28" ht="32" customHeight="1" spans="1:25">
      <c r="A28" s="9"/>
      <c r="B28" s="9" t="s">
        <v>128</v>
      </c>
      <c r="C28" s="9" t="s">
        <v>260</v>
      </c>
      <c r="D28" s="15"/>
      <c r="E28" s="9"/>
      <c r="F28" s="18"/>
      <c r="G28" s="36" t="s">
        <v>89</v>
      </c>
      <c r="H28" s="35"/>
      <c r="I28" s="57"/>
      <c r="J28" s="58"/>
      <c r="K28" s="43"/>
      <c r="L28" s="28"/>
      <c r="M28" s="22"/>
      <c r="N28" s="28"/>
      <c r="O28" s="22"/>
      <c r="P28" s="28"/>
      <c r="Q28" s="22"/>
      <c r="R28" s="22"/>
      <c r="S28" s="69"/>
      <c r="T28" s="69"/>
      <c r="U28" s="70"/>
      <c r="V28" s="25"/>
      <c r="W28" s="70"/>
      <c r="X28" s="25"/>
      <c r="Y28" s="28"/>
    </row>
    <row r="29" ht="32" customHeight="1" spans="1:25">
      <c r="A29" s="9"/>
      <c r="B29" s="9" t="s">
        <v>128</v>
      </c>
      <c r="C29" s="9" t="s">
        <v>260</v>
      </c>
      <c r="D29" s="15"/>
      <c r="E29" s="9" t="s">
        <v>134</v>
      </c>
      <c r="F29" s="18"/>
      <c r="G29" s="36" t="s">
        <v>78</v>
      </c>
      <c r="H29" s="35"/>
      <c r="I29" s="57"/>
      <c r="J29" s="58"/>
      <c r="K29" s="43"/>
      <c r="L29" s="28"/>
      <c r="M29" s="18"/>
      <c r="N29" s="28"/>
      <c r="O29" s="9"/>
      <c r="P29" s="28"/>
      <c r="Q29" s="28"/>
      <c r="R29" s="28"/>
      <c r="S29" s="69"/>
      <c r="T29" s="69"/>
      <c r="U29" s="70"/>
      <c r="V29" s="25"/>
      <c r="W29" s="70"/>
      <c r="X29" s="25"/>
      <c r="Y29" s="28"/>
    </row>
    <row r="30" ht="32" customHeight="1" spans="1:25">
      <c r="A30" s="9"/>
      <c r="B30" s="9" t="s">
        <v>128</v>
      </c>
      <c r="C30" s="9" t="s">
        <v>260</v>
      </c>
      <c r="D30" s="15"/>
      <c r="E30" s="9"/>
      <c r="F30" s="18"/>
      <c r="G30" s="36" t="s">
        <v>89</v>
      </c>
      <c r="H30" s="35"/>
      <c r="I30" s="57"/>
      <c r="J30" s="58"/>
      <c r="K30" s="43"/>
      <c r="L30" s="28"/>
      <c r="M30" s="22"/>
      <c r="N30" s="28"/>
      <c r="O30" s="22"/>
      <c r="P30" s="28"/>
      <c r="Q30" s="22"/>
      <c r="R30" s="22"/>
      <c r="S30" s="69"/>
      <c r="T30" s="69"/>
      <c r="U30" s="70"/>
      <c r="V30" s="25"/>
      <c r="W30" s="70"/>
      <c r="X30" s="25"/>
      <c r="Y30" s="28"/>
    </row>
    <row r="31" ht="32" customHeight="1" spans="1:25">
      <c r="A31" s="9"/>
      <c r="B31" s="9" t="s">
        <v>128</v>
      </c>
      <c r="C31" s="9" t="s">
        <v>260</v>
      </c>
      <c r="D31" s="15"/>
      <c r="E31" s="9" t="s">
        <v>136</v>
      </c>
      <c r="F31" s="18"/>
      <c r="G31" s="36" t="s">
        <v>78</v>
      </c>
      <c r="H31" s="35"/>
      <c r="I31" s="57"/>
      <c r="J31" s="58"/>
      <c r="K31" s="43"/>
      <c r="L31" s="28"/>
      <c r="M31" s="18"/>
      <c r="N31" s="28"/>
      <c r="O31" s="9"/>
      <c r="P31" s="28"/>
      <c r="Q31" s="28"/>
      <c r="R31" s="28"/>
      <c r="S31" s="69"/>
      <c r="T31" s="69"/>
      <c r="U31" s="70"/>
      <c r="V31" s="25"/>
      <c r="W31" s="70"/>
      <c r="X31" s="25"/>
      <c r="Y31" s="28"/>
    </row>
    <row r="32" ht="32" customHeight="1" spans="1:25">
      <c r="A32" s="9"/>
      <c r="B32" s="9" t="s">
        <v>128</v>
      </c>
      <c r="C32" s="9" t="s">
        <v>260</v>
      </c>
      <c r="D32" s="15"/>
      <c r="E32" s="9"/>
      <c r="F32" s="18"/>
      <c r="G32" s="36" t="s">
        <v>89</v>
      </c>
      <c r="H32" s="35"/>
      <c r="I32" s="57"/>
      <c r="J32" s="58"/>
      <c r="K32" s="43"/>
      <c r="L32" s="28"/>
      <c r="M32" s="22"/>
      <c r="N32" s="28"/>
      <c r="O32" s="22"/>
      <c r="P32" s="28"/>
      <c r="Q32" s="22"/>
      <c r="R32" s="22"/>
      <c r="S32" s="69"/>
      <c r="T32" s="69"/>
      <c r="U32" s="70"/>
      <c r="V32" s="25"/>
      <c r="W32" s="70"/>
      <c r="X32" s="25"/>
      <c r="Y32" s="28"/>
    </row>
    <row r="33" spans="1:25">
      <c r="A33" s="11"/>
      <c r="B33" s="9" t="s">
        <v>128</v>
      </c>
      <c r="C33" s="9" t="s">
        <v>260</v>
      </c>
      <c r="D33" s="17" t="s">
        <v>243</v>
      </c>
      <c r="E33" s="9" t="s">
        <v>131</v>
      </c>
      <c r="F33" s="18"/>
      <c r="G33" s="18" t="s">
        <v>78</v>
      </c>
      <c r="H33" s="37"/>
      <c r="I33" s="57" t="s">
        <v>245</v>
      </c>
      <c r="J33" s="58"/>
      <c r="K33" s="49"/>
      <c r="L33" s="54"/>
      <c r="M33" s="60"/>
      <c r="N33" s="54"/>
      <c r="O33" s="36"/>
      <c r="P33" s="54"/>
      <c r="Q33" s="54"/>
      <c r="R33" s="54"/>
      <c r="S33" s="74"/>
      <c r="T33" s="74"/>
      <c r="U33" s="72"/>
      <c r="V33" s="76"/>
      <c r="W33" s="72"/>
      <c r="X33" s="76"/>
      <c r="Y33" s="18"/>
    </row>
    <row r="34" spans="1:25">
      <c r="A34" s="11"/>
      <c r="B34" s="9" t="s">
        <v>128</v>
      </c>
      <c r="C34" s="9" t="s">
        <v>260</v>
      </c>
      <c r="D34" s="17"/>
      <c r="E34" s="9"/>
      <c r="F34" s="18"/>
      <c r="G34" s="18" t="s">
        <v>153</v>
      </c>
      <c r="H34" s="18"/>
      <c r="I34" s="57"/>
      <c r="J34" s="58"/>
      <c r="K34" s="59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18"/>
    </row>
    <row r="35" spans="1:25">
      <c r="A35" s="11"/>
      <c r="B35" s="9" t="s">
        <v>128</v>
      </c>
      <c r="C35" s="9" t="s">
        <v>260</v>
      </c>
      <c r="D35" s="17"/>
      <c r="E35" s="9"/>
      <c r="F35" s="18"/>
      <c r="G35" s="18" t="s">
        <v>154</v>
      </c>
      <c r="H35" s="18"/>
      <c r="I35" s="57"/>
      <c r="J35" s="58"/>
      <c r="K35" s="59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18"/>
    </row>
    <row r="36" spans="1:25">
      <c r="A36" s="11"/>
      <c r="B36" s="9" t="s">
        <v>128</v>
      </c>
      <c r="C36" s="9" t="s">
        <v>260</v>
      </c>
      <c r="D36" s="17"/>
      <c r="E36" s="9"/>
      <c r="F36" s="18"/>
      <c r="G36" s="18" t="s">
        <v>95</v>
      </c>
      <c r="H36" s="37"/>
      <c r="I36" s="57"/>
      <c r="J36" s="58"/>
      <c r="K36" s="51"/>
      <c r="L36" s="36"/>
      <c r="M36" s="63"/>
      <c r="N36" s="36"/>
      <c r="O36" s="63"/>
      <c r="P36" s="36"/>
      <c r="Q36" s="63"/>
      <c r="R36" s="54"/>
      <c r="S36" s="72"/>
      <c r="T36" s="72"/>
      <c r="U36" s="72"/>
      <c r="V36" s="77"/>
      <c r="W36" s="72"/>
      <c r="X36" s="77"/>
      <c r="Y36" s="18"/>
    </row>
    <row r="37" spans="1:25">
      <c r="A37" s="11"/>
      <c r="B37" s="9" t="s">
        <v>128</v>
      </c>
      <c r="C37" s="9" t="s">
        <v>260</v>
      </c>
      <c r="D37" s="17"/>
      <c r="E37" s="18" t="s">
        <v>134</v>
      </c>
      <c r="F37" s="18"/>
      <c r="G37" s="18" t="s">
        <v>78</v>
      </c>
      <c r="H37" s="37"/>
      <c r="I37" s="57"/>
      <c r="J37" s="58"/>
      <c r="K37" s="49"/>
      <c r="L37" s="54"/>
      <c r="M37" s="60"/>
      <c r="N37" s="54"/>
      <c r="O37" s="36"/>
      <c r="P37" s="54"/>
      <c r="Q37" s="54"/>
      <c r="R37" s="54"/>
      <c r="S37" s="74"/>
      <c r="T37" s="74"/>
      <c r="U37" s="72"/>
      <c r="V37" s="76"/>
      <c r="W37" s="72"/>
      <c r="X37" s="76"/>
      <c r="Y37" s="18"/>
    </row>
    <row r="38" spans="1:25">
      <c r="A38" s="11"/>
      <c r="B38" s="9" t="s">
        <v>128</v>
      </c>
      <c r="C38" s="9" t="s">
        <v>260</v>
      </c>
      <c r="D38" s="17"/>
      <c r="E38" s="18"/>
      <c r="F38" s="18"/>
      <c r="G38" s="18" t="s">
        <v>153</v>
      </c>
      <c r="H38" s="18"/>
      <c r="I38" s="57"/>
      <c r="J38" s="58"/>
      <c r="K38" s="59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18"/>
    </row>
    <row r="39" spans="1:25">
      <c r="A39" s="11"/>
      <c r="B39" s="9" t="s">
        <v>128</v>
      </c>
      <c r="C39" s="9" t="s">
        <v>260</v>
      </c>
      <c r="D39" s="17"/>
      <c r="E39" s="18"/>
      <c r="F39" s="18"/>
      <c r="G39" s="18" t="s">
        <v>154</v>
      </c>
      <c r="H39" s="18"/>
      <c r="I39" s="57"/>
      <c r="J39" s="58"/>
      <c r="K39" s="59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18"/>
    </row>
    <row r="40" spans="1:25">
      <c r="A40" s="11"/>
      <c r="B40" s="9" t="s">
        <v>128</v>
      </c>
      <c r="C40" s="9" t="s">
        <v>260</v>
      </c>
      <c r="D40" s="17"/>
      <c r="E40" s="18"/>
      <c r="F40" s="18"/>
      <c r="G40" s="18" t="s">
        <v>95</v>
      </c>
      <c r="H40" s="37"/>
      <c r="I40" s="57"/>
      <c r="J40" s="58"/>
      <c r="K40" s="51"/>
      <c r="L40" s="36"/>
      <c r="M40" s="63"/>
      <c r="N40" s="36"/>
      <c r="O40" s="63"/>
      <c r="P40" s="36"/>
      <c r="Q40" s="63"/>
      <c r="R40" s="54"/>
      <c r="S40" s="72"/>
      <c r="T40" s="72"/>
      <c r="U40" s="72"/>
      <c r="V40" s="77"/>
      <c r="W40" s="72"/>
      <c r="X40" s="77"/>
      <c r="Y40" s="18"/>
    </row>
    <row r="41" spans="1:25">
      <c r="A41" s="11"/>
      <c r="B41" s="9" t="s">
        <v>128</v>
      </c>
      <c r="C41" s="9" t="s">
        <v>260</v>
      </c>
      <c r="D41" s="17"/>
      <c r="E41" s="18" t="s">
        <v>136</v>
      </c>
      <c r="F41" s="18"/>
      <c r="G41" s="18" t="s">
        <v>78</v>
      </c>
      <c r="H41" s="37"/>
      <c r="I41" s="57"/>
      <c r="J41" s="58"/>
      <c r="K41" s="49"/>
      <c r="L41" s="54"/>
      <c r="M41" s="60"/>
      <c r="N41" s="54"/>
      <c r="O41" s="36"/>
      <c r="P41" s="54"/>
      <c r="Q41" s="54"/>
      <c r="R41" s="54"/>
      <c r="S41" s="74"/>
      <c r="T41" s="74"/>
      <c r="U41" s="72"/>
      <c r="V41" s="76"/>
      <c r="W41" s="72"/>
      <c r="X41" s="76"/>
      <c r="Y41" s="18"/>
    </row>
    <row r="42" spans="1:25">
      <c r="A42" s="11"/>
      <c r="B42" s="9" t="s">
        <v>128</v>
      </c>
      <c r="C42" s="9" t="s">
        <v>260</v>
      </c>
      <c r="D42" s="17"/>
      <c r="E42" s="18"/>
      <c r="F42" s="18"/>
      <c r="G42" s="18" t="s">
        <v>153</v>
      </c>
      <c r="H42" s="18"/>
      <c r="I42" s="57"/>
      <c r="J42" s="58"/>
      <c r="K42" s="59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18"/>
    </row>
    <row r="43" spans="1:25">
      <c r="A43" s="11"/>
      <c r="B43" s="9" t="s">
        <v>128</v>
      </c>
      <c r="C43" s="9" t="s">
        <v>260</v>
      </c>
      <c r="D43" s="17"/>
      <c r="E43" s="18"/>
      <c r="F43" s="18"/>
      <c r="G43" s="18" t="s">
        <v>154</v>
      </c>
      <c r="H43" s="18"/>
      <c r="I43" s="57"/>
      <c r="J43" s="58"/>
      <c r="K43" s="59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18"/>
    </row>
    <row r="44" spans="1:25">
      <c r="A44" s="11"/>
      <c r="B44" s="9" t="s">
        <v>128</v>
      </c>
      <c r="C44" s="9" t="s">
        <v>260</v>
      </c>
      <c r="D44" s="17"/>
      <c r="E44" s="18"/>
      <c r="F44" s="18"/>
      <c r="G44" s="18" t="s">
        <v>95</v>
      </c>
      <c r="H44" s="37"/>
      <c r="I44" s="57"/>
      <c r="J44" s="58"/>
      <c r="K44" s="51"/>
      <c r="L44" s="36"/>
      <c r="M44" s="63"/>
      <c r="N44" s="36"/>
      <c r="O44" s="63"/>
      <c r="P44" s="36"/>
      <c r="Q44" s="63"/>
      <c r="R44" s="54"/>
      <c r="S44" s="72"/>
      <c r="T44" s="72"/>
      <c r="U44" s="72"/>
      <c r="V44" s="77"/>
      <c r="W44" s="72"/>
      <c r="X44" s="77"/>
      <c r="Y44" s="18"/>
    </row>
    <row r="48" spans="10:10">
      <c r="J48" s="30"/>
    </row>
  </sheetData>
  <autoFilter ref="A2:F44">
    <extLst/>
  </autoFilter>
  <mergeCells count="40">
    <mergeCell ref="D3:D14"/>
    <mergeCell ref="D15:D26"/>
    <mergeCell ref="D27:D32"/>
    <mergeCell ref="D33:D44"/>
    <mergeCell ref="E3:E6"/>
    <mergeCell ref="E7:E10"/>
    <mergeCell ref="E11:E14"/>
    <mergeCell ref="E15:E18"/>
    <mergeCell ref="E19:E22"/>
    <mergeCell ref="E23:E26"/>
    <mergeCell ref="E27:E28"/>
    <mergeCell ref="E29:E30"/>
    <mergeCell ref="E31:E32"/>
    <mergeCell ref="E33:E36"/>
    <mergeCell ref="E37:E40"/>
    <mergeCell ref="E41:E44"/>
    <mergeCell ref="F3:F6"/>
    <mergeCell ref="F7:F10"/>
    <mergeCell ref="F11:F14"/>
    <mergeCell ref="F15:F18"/>
    <mergeCell ref="F19:F22"/>
    <mergeCell ref="F23:F26"/>
    <mergeCell ref="F27:F28"/>
    <mergeCell ref="F29:F30"/>
    <mergeCell ref="F31:F32"/>
    <mergeCell ref="F33:F36"/>
    <mergeCell ref="F37:F40"/>
    <mergeCell ref="F41:F44"/>
    <mergeCell ref="I3:I14"/>
    <mergeCell ref="I15:I26"/>
    <mergeCell ref="I27:I32"/>
    <mergeCell ref="I33:I44"/>
    <mergeCell ref="J3:J14"/>
    <mergeCell ref="J15:J26"/>
    <mergeCell ref="J27:J32"/>
    <mergeCell ref="J33:J44"/>
    <mergeCell ref="Y3:Y14"/>
    <mergeCell ref="Y15:Y26"/>
    <mergeCell ref="Y27:Y32"/>
    <mergeCell ref="Y33:Y44"/>
  </mergeCells>
  <conditionalFormatting sqref="I3">
    <cfRule type="cellIs" dxfId="6" priority="120" operator="equal">
      <formula>"Not started"</formula>
    </cfRule>
    <cfRule type="cellIs" dxfId="3" priority="121" operator="equal">
      <formula>"N/A"</formula>
    </cfRule>
    <cfRule type="cellIs" dxfId="1" priority="122" operator="equal">
      <formula>"Not stared"</formula>
    </cfRule>
    <cfRule type="cellIs" dxfId="5" priority="123" operator="equal">
      <formula>"Not started"</formula>
    </cfRule>
    <cfRule type="cellIs" dxfId="0" priority="124" operator="equal">
      <formula>"Ongoing"</formula>
    </cfRule>
    <cfRule type="cellIs" dxfId="2" priority="125" operator="equal">
      <formula>"Pass"</formula>
    </cfRule>
    <cfRule type="cellIs" dxfId="4" priority="126" operator="equal">
      <formula>"Fail"</formula>
    </cfRule>
  </conditionalFormatting>
  <conditionalFormatting sqref="I15">
    <cfRule type="cellIs" dxfId="6" priority="8" operator="equal">
      <formula>"Not started"</formula>
    </cfRule>
    <cfRule type="cellIs" dxfId="3" priority="9" operator="equal">
      <formula>"N/A"</formula>
    </cfRule>
    <cfRule type="cellIs" dxfId="1" priority="10" operator="equal">
      <formula>"Not stared"</formula>
    </cfRule>
    <cfRule type="cellIs" dxfId="5" priority="11" operator="equal">
      <formula>"Not started"</formula>
    </cfRule>
    <cfRule type="cellIs" dxfId="0" priority="12" operator="equal">
      <formula>"Ongoing"</formula>
    </cfRule>
    <cfRule type="cellIs" dxfId="2" priority="13" operator="equal">
      <formula>"Pass"</formula>
    </cfRule>
    <cfRule type="cellIs" dxfId="4" priority="14" operator="equal">
      <formula>"Fail"</formula>
    </cfRule>
  </conditionalFormatting>
  <conditionalFormatting sqref="I27">
    <cfRule type="cellIs" dxfId="6" priority="64" operator="equal">
      <formula>"Not started"</formula>
    </cfRule>
    <cfRule type="cellIs" dxfId="3" priority="65" operator="equal">
      <formula>"N/A"</formula>
    </cfRule>
    <cfRule type="cellIs" dxfId="1" priority="66" operator="equal">
      <formula>"Not stared"</formula>
    </cfRule>
    <cfRule type="cellIs" dxfId="5" priority="67" operator="equal">
      <formula>"Not started"</formula>
    </cfRule>
    <cfRule type="cellIs" dxfId="0" priority="68" operator="equal">
      <formula>"Ongoing"</formula>
    </cfRule>
    <cfRule type="cellIs" dxfId="2" priority="69" operator="equal">
      <formula>"Pass"</formula>
    </cfRule>
    <cfRule type="cellIs" dxfId="4" priority="70" operator="equal">
      <formula>"Fail"</formula>
    </cfRule>
  </conditionalFormatting>
  <conditionalFormatting sqref="I33">
    <cfRule type="cellIs" dxfId="6" priority="36" operator="equal">
      <formula>"Not started"</formula>
    </cfRule>
    <cfRule type="cellIs" dxfId="3" priority="37" operator="equal">
      <formula>"N/A"</formula>
    </cfRule>
    <cfRule type="cellIs" dxfId="1" priority="38" operator="equal">
      <formula>"Not stared"</formula>
    </cfRule>
    <cfRule type="cellIs" dxfId="5" priority="39" operator="equal">
      <formula>"Not started"</formula>
    </cfRule>
    <cfRule type="cellIs" dxfId="0" priority="40" operator="equal">
      <formula>"Ongoing"</formula>
    </cfRule>
    <cfRule type="cellIs" dxfId="2" priority="41" operator="equal">
      <formula>"Pass"</formula>
    </cfRule>
    <cfRule type="cellIs" dxfId="4" priority="42" operator="equal">
      <formula>"Fail"</formula>
    </cfRule>
  </conditionalFormatting>
  <dataValidations count="1">
    <dataValidation type="list" allowBlank="1" showInputMessage="1" showErrorMessage="1" sqref="I3 I7 I11 I15 I27 I29 I31 I33">
      <formula1>"Fail,Pass,Ongoing,Not started,N/A"</formula1>
    </dataValidation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"/>
  <sheetViews>
    <sheetView zoomScale="70" zoomScaleNormal="70" workbookViewId="0">
      <pane xSplit="9" ySplit="2" topLeftCell="P3" activePane="bottomRight" state="frozen"/>
      <selection/>
      <selection pane="topRight"/>
      <selection pane="bottomLeft"/>
      <selection pane="bottomRight" activeCell="T30" sqref="T30"/>
    </sheetView>
  </sheetViews>
  <sheetFormatPr defaultColWidth="8.73333333333333" defaultRowHeight="14.25"/>
  <cols>
    <col min="1" max="2" width="8.81333333333333" style="4" hidden="1" customWidth="1"/>
    <col min="3" max="3" width="8.81333333333333" style="4" customWidth="1"/>
    <col min="4" max="4" width="19.5466666666667" style="4" customWidth="1"/>
    <col min="5" max="5" width="13.0755555555556" style="4" customWidth="1"/>
    <col min="6" max="6" width="24.4533333333333" style="6" customWidth="1"/>
    <col min="7" max="7" width="9.09333333333333" style="4" customWidth="1"/>
    <col min="8" max="8" width="12.1866666666667" style="4" customWidth="1"/>
    <col min="9" max="9" width="11.5466666666667" style="6" customWidth="1"/>
    <col min="10" max="10" width="41.5644444444444" style="6" customWidth="1"/>
    <col min="11" max="11" width="13.76" style="29" customWidth="1"/>
    <col min="12" max="12" width="11.4177777777778" style="30" customWidth="1"/>
    <col min="13" max="13" width="13.3333333333333" style="6" customWidth="1"/>
    <col min="14" max="14" width="11.4177777777778" style="30" customWidth="1"/>
    <col min="15" max="15" width="14.2755555555556" style="2" customWidth="1"/>
    <col min="16" max="16" width="12.4266666666667" style="30" customWidth="1"/>
    <col min="17" max="17" width="13.9644444444444" style="30" customWidth="1"/>
    <col min="18" max="18" width="20" style="30" customWidth="1"/>
    <col min="19" max="20" width="11.4177777777778" style="31" customWidth="1"/>
    <col min="21" max="21" width="13.6311111111111" style="31" customWidth="1"/>
    <col min="22" max="22" width="13.64" style="7" customWidth="1"/>
    <col min="23" max="23" width="10.2666666666667" style="31" customWidth="1"/>
    <col min="24" max="24" width="13.3244444444444" style="7" customWidth="1"/>
    <col min="25" max="25" width="58.64" style="4" customWidth="1"/>
    <col min="26" max="16384" width="8.73333333333333" style="4"/>
  </cols>
  <sheetData>
    <row r="1" spans="25:25">
      <c r="Y1" s="78"/>
    </row>
    <row r="2" ht="28.5" spans="1:25">
      <c r="A2" s="8" t="s">
        <v>109</v>
      </c>
      <c r="B2" s="8" t="s">
        <v>110</v>
      </c>
      <c r="C2" s="8" t="s">
        <v>111</v>
      </c>
      <c r="D2" s="12" t="s">
        <v>112</v>
      </c>
      <c r="E2" s="13" t="s">
        <v>63</v>
      </c>
      <c r="F2" s="13" t="s">
        <v>113</v>
      </c>
      <c r="G2" s="13" t="s">
        <v>114</v>
      </c>
      <c r="H2" s="13" t="s">
        <v>115</v>
      </c>
      <c r="I2" s="38" t="s">
        <v>116</v>
      </c>
      <c r="J2" s="38" t="s">
        <v>108</v>
      </c>
      <c r="K2" s="39" t="s">
        <v>249</v>
      </c>
      <c r="L2" s="40" t="s">
        <v>250</v>
      </c>
      <c r="M2" s="40" t="s">
        <v>251</v>
      </c>
      <c r="N2" s="61" t="s">
        <v>252</v>
      </c>
      <c r="O2" s="61" t="s">
        <v>253</v>
      </c>
      <c r="P2" s="62" t="s">
        <v>254</v>
      </c>
      <c r="Q2" s="62" t="s">
        <v>255</v>
      </c>
      <c r="R2" s="67" t="s">
        <v>256</v>
      </c>
      <c r="S2" s="68" t="s">
        <v>257</v>
      </c>
      <c r="T2" s="68" t="s">
        <v>258</v>
      </c>
      <c r="U2" s="62" t="s">
        <v>123</v>
      </c>
      <c r="V2" s="75" t="s">
        <v>259</v>
      </c>
      <c r="W2" s="62" t="s">
        <v>125</v>
      </c>
      <c r="X2" s="75" t="s">
        <v>126</v>
      </c>
      <c r="Y2" s="23" t="s">
        <v>127</v>
      </c>
    </row>
    <row r="3" spans="1:25">
      <c r="A3" s="9"/>
      <c r="B3" s="9" t="s">
        <v>128</v>
      </c>
      <c r="C3" s="9" t="s">
        <v>260</v>
      </c>
      <c r="D3" s="15" t="s">
        <v>240</v>
      </c>
      <c r="E3" s="9" t="s">
        <v>131</v>
      </c>
      <c r="F3" s="9"/>
      <c r="G3" s="9" t="s">
        <v>78</v>
      </c>
      <c r="H3" s="32"/>
      <c r="I3" s="41" t="s">
        <v>245</v>
      </c>
      <c r="J3" s="42"/>
      <c r="K3" s="43"/>
      <c r="L3" s="28"/>
      <c r="M3" s="18"/>
      <c r="N3" s="28"/>
      <c r="O3" s="9"/>
      <c r="P3" s="28"/>
      <c r="Q3" s="28"/>
      <c r="R3" s="28"/>
      <c r="S3" s="69"/>
      <c r="T3" s="69"/>
      <c r="U3" s="70"/>
      <c r="V3" s="25"/>
      <c r="W3" s="70"/>
      <c r="X3" s="25"/>
      <c r="Y3" s="28"/>
    </row>
    <row r="4" spans="1:25">
      <c r="A4" s="9"/>
      <c r="B4" s="9" t="s">
        <v>128</v>
      </c>
      <c r="C4" s="9" t="s">
        <v>260</v>
      </c>
      <c r="D4" s="15"/>
      <c r="E4" s="9"/>
      <c r="F4" s="9"/>
      <c r="G4" s="9" t="s">
        <v>92</v>
      </c>
      <c r="H4" s="32"/>
      <c r="I4" s="41"/>
      <c r="J4" s="44"/>
      <c r="K4" s="18"/>
      <c r="L4" s="18"/>
      <c r="M4" s="18"/>
      <c r="N4" s="18"/>
      <c r="O4" s="18"/>
      <c r="P4" s="18"/>
      <c r="Q4" s="18"/>
      <c r="R4" s="18"/>
      <c r="S4" s="69"/>
      <c r="T4" s="69"/>
      <c r="U4" s="70"/>
      <c r="V4" s="25"/>
      <c r="W4" s="70"/>
      <c r="X4" s="25"/>
      <c r="Y4" s="28"/>
    </row>
    <row r="5" spans="1:25">
      <c r="A5" s="9"/>
      <c r="B5" s="9" t="s">
        <v>128</v>
      </c>
      <c r="C5" s="9" t="s">
        <v>260</v>
      </c>
      <c r="D5" s="15"/>
      <c r="E5" s="9"/>
      <c r="F5" s="9"/>
      <c r="G5" s="9" t="s">
        <v>107</v>
      </c>
      <c r="H5" s="33"/>
      <c r="I5" s="41"/>
      <c r="J5" s="44"/>
      <c r="K5" s="18"/>
      <c r="L5" s="18"/>
      <c r="M5" s="18"/>
      <c r="N5" s="18"/>
      <c r="O5" s="18"/>
      <c r="P5" s="18"/>
      <c r="Q5" s="18"/>
      <c r="R5" s="18"/>
      <c r="S5" s="70"/>
      <c r="T5" s="70"/>
      <c r="U5" s="70"/>
      <c r="V5" s="25"/>
      <c r="W5" s="70"/>
      <c r="X5" s="25"/>
      <c r="Y5" s="28"/>
    </row>
    <row r="6" spans="1:25">
      <c r="A6" s="9"/>
      <c r="B6" s="9" t="s">
        <v>128</v>
      </c>
      <c r="C6" s="9" t="s">
        <v>260</v>
      </c>
      <c r="D6" s="15"/>
      <c r="E6" s="9"/>
      <c r="F6" s="9"/>
      <c r="G6" s="9" t="s">
        <v>133</v>
      </c>
      <c r="H6" s="34"/>
      <c r="I6" s="41"/>
      <c r="J6" s="44"/>
      <c r="K6" s="18"/>
      <c r="L6" s="18"/>
      <c r="M6" s="18"/>
      <c r="N6" s="18"/>
      <c r="O6" s="18"/>
      <c r="P6" s="18"/>
      <c r="Q6" s="18"/>
      <c r="R6" s="18"/>
      <c r="S6" s="71"/>
      <c r="T6" s="71"/>
      <c r="U6" s="71"/>
      <c r="V6" s="27"/>
      <c r="W6" s="71"/>
      <c r="X6" s="27"/>
      <c r="Y6" s="28"/>
    </row>
    <row r="7" spans="1:25">
      <c r="A7" s="9"/>
      <c r="B7" s="9" t="s">
        <v>128</v>
      </c>
      <c r="C7" s="9" t="s">
        <v>260</v>
      </c>
      <c r="D7" s="15"/>
      <c r="E7" s="9" t="s">
        <v>134</v>
      </c>
      <c r="F7" s="9"/>
      <c r="G7" s="9" t="s">
        <v>78</v>
      </c>
      <c r="H7" s="35"/>
      <c r="I7" s="41"/>
      <c r="J7" s="44"/>
      <c r="K7" s="18"/>
      <c r="L7" s="18"/>
      <c r="M7" s="18"/>
      <c r="N7" s="18"/>
      <c r="O7" s="18"/>
      <c r="P7" s="18"/>
      <c r="Q7" s="18"/>
      <c r="R7" s="18"/>
      <c r="S7" s="69"/>
      <c r="T7" s="69"/>
      <c r="U7" s="70"/>
      <c r="V7" s="25"/>
      <c r="W7" s="70"/>
      <c r="X7" s="25"/>
      <c r="Y7" s="28"/>
    </row>
    <row r="8" spans="1:25">
      <c r="A8" s="9"/>
      <c r="B8" s="9" t="s">
        <v>128</v>
      </c>
      <c r="C8" s="9" t="s">
        <v>260</v>
      </c>
      <c r="D8" s="15"/>
      <c r="E8" s="9"/>
      <c r="F8" s="9"/>
      <c r="G8" s="9" t="s">
        <v>92</v>
      </c>
      <c r="H8" s="35"/>
      <c r="I8" s="41"/>
      <c r="J8" s="44"/>
      <c r="K8" s="18"/>
      <c r="L8" s="18"/>
      <c r="M8" s="18"/>
      <c r="N8" s="18"/>
      <c r="O8" s="18"/>
      <c r="P8" s="18"/>
      <c r="Q8" s="18"/>
      <c r="R8" s="18"/>
      <c r="S8" s="69"/>
      <c r="T8" s="69"/>
      <c r="U8" s="70"/>
      <c r="V8" s="25"/>
      <c r="W8" s="70"/>
      <c r="X8" s="25"/>
      <c r="Y8" s="28"/>
    </row>
    <row r="9" spans="1:25">
      <c r="A9" s="9"/>
      <c r="B9" s="9" t="s">
        <v>128</v>
      </c>
      <c r="C9" s="9" t="s">
        <v>260</v>
      </c>
      <c r="D9" s="15"/>
      <c r="E9" s="9"/>
      <c r="F9" s="9"/>
      <c r="G9" s="9" t="s">
        <v>107</v>
      </c>
      <c r="H9" s="36"/>
      <c r="I9" s="41"/>
      <c r="J9" s="44"/>
      <c r="K9" s="18"/>
      <c r="L9" s="18"/>
      <c r="M9" s="18"/>
      <c r="N9" s="18"/>
      <c r="O9" s="18"/>
      <c r="P9" s="18"/>
      <c r="Q9" s="18"/>
      <c r="R9" s="18"/>
      <c r="S9" s="70"/>
      <c r="T9" s="70"/>
      <c r="U9" s="70"/>
      <c r="V9" s="25"/>
      <c r="W9" s="70"/>
      <c r="X9" s="25"/>
      <c r="Y9" s="28"/>
    </row>
    <row r="10" spans="1:25">
      <c r="A10" s="9"/>
      <c r="B10" s="9" t="s">
        <v>128</v>
      </c>
      <c r="C10" s="9" t="s">
        <v>260</v>
      </c>
      <c r="D10" s="15"/>
      <c r="E10" s="9"/>
      <c r="F10" s="9"/>
      <c r="G10" s="9" t="s">
        <v>133</v>
      </c>
      <c r="H10" s="34"/>
      <c r="I10" s="41"/>
      <c r="J10" s="44"/>
      <c r="K10" s="18"/>
      <c r="L10" s="18"/>
      <c r="M10" s="18"/>
      <c r="N10" s="18"/>
      <c r="O10" s="18"/>
      <c r="P10" s="18"/>
      <c r="Q10" s="18"/>
      <c r="R10" s="18"/>
      <c r="S10" s="71"/>
      <c r="T10" s="71"/>
      <c r="U10" s="71"/>
      <c r="V10" s="27"/>
      <c r="W10" s="71"/>
      <c r="X10" s="27"/>
      <c r="Y10" s="28"/>
    </row>
    <row r="11" spans="1:25">
      <c r="A11" s="9"/>
      <c r="B11" s="9" t="s">
        <v>128</v>
      </c>
      <c r="C11" s="9" t="s">
        <v>260</v>
      </c>
      <c r="D11" s="15"/>
      <c r="E11" s="9" t="s">
        <v>136</v>
      </c>
      <c r="F11" s="9"/>
      <c r="G11" s="9" t="s">
        <v>78</v>
      </c>
      <c r="H11" s="35"/>
      <c r="I11" s="41"/>
      <c r="J11" s="44"/>
      <c r="K11" s="18"/>
      <c r="L11" s="18"/>
      <c r="M11" s="18"/>
      <c r="N11" s="18"/>
      <c r="O11" s="18"/>
      <c r="P11" s="18"/>
      <c r="Q11" s="18"/>
      <c r="R11" s="18"/>
      <c r="S11" s="69"/>
      <c r="T11" s="69"/>
      <c r="U11" s="70"/>
      <c r="V11" s="25"/>
      <c r="W11" s="70"/>
      <c r="X11" s="25"/>
      <c r="Y11" s="28"/>
    </row>
    <row r="12" spans="1:25">
      <c r="A12" s="9"/>
      <c r="B12" s="9" t="s">
        <v>128</v>
      </c>
      <c r="C12" s="9" t="s">
        <v>260</v>
      </c>
      <c r="D12" s="15"/>
      <c r="E12" s="9"/>
      <c r="F12" s="9"/>
      <c r="G12" s="9" t="s">
        <v>92</v>
      </c>
      <c r="H12" s="35"/>
      <c r="I12" s="41"/>
      <c r="J12" s="44"/>
      <c r="K12" s="18"/>
      <c r="L12" s="18"/>
      <c r="M12" s="18"/>
      <c r="N12" s="18"/>
      <c r="O12" s="18"/>
      <c r="P12" s="18"/>
      <c r="Q12" s="18"/>
      <c r="R12" s="18"/>
      <c r="S12" s="69"/>
      <c r="T12" s="69"/>
      <c r="U12" s="70"/>
      <c r="V12" s="25"/>
      <c r="W12" s="70"/>
      <c r="X12" s="25"/>
      <c r="Y12" s="28"/>
    </row>
    <row r="13" spans="1:25">
      <c r="A13" s="9"/>
      <c r="B13" s="9" t="s">
        <v>128</v>
      </c>
      <c r="C13" s="9" t="s">
        <v>260</v>
      </c>
      <c r="D13" s="15"/>
      <c r="E13" s="9"/>
      <c r="F13" s="9"/>
      <c r="G13" s="9" t="s">
        <v>107</v>
      </c>
      <c r="H13" s="36"/>
      <c r="I13" s="41"/>
      <c r="J13" s="44"/>
      <c r="K13" s="18"/>
      <c r="L13" s="18"/>
      <c r="M13" s="18"/>
      <c r="N13" s="18"/>
      <c r="O13" s="18"/>
      <c r="P13" s="18"/>
      <c r="Q13" s="18"/>
      <c r="R13" s="18"/>
      <c r="S13" s="70"/>
      <c r="T13" s="70"/>
      <c r="U13" s="70"/>
      <c r="V13" s="25"/>
      <c r="W13" s="70"/>
      <c r="X13" s="25"/>
      <c r="Y13" s="28"/>
    </row>
    <row r="14" spans="1:25">
      <c r="A14" s="9"/>
      <c r="B14" s="9" t="s">
        <v>128</v>
      </c>
      <c r="C14" s="9" t="s">
        <v>260</v>
      </c>
      <c r="D14" s="15"/>
      <c r="E14" s="9"/>
      <c r="F14" s="9"/>
      <c r="G14" s="9" t="s">
        <v>133</v>
      </c>
      <c r="H14" s="36"/>
      <c r="I14" s="45"/>
      <c r="J14" s="46"/>
      <c r="K14" s="18"/>
      <c r="L14" s="18"/>
      <c r="M14" s="18"/>
      <c r="N14" s="18"/>
      <c r="O14" s="18"/>
      <c r="P14" s="18"/>
      <c r="Q14" s="18"/>
      <c r="R14" s="18"/>
      <c r="S14" s="70"/>
      <c r="T14" s="70"/>
      <c r="U14" s="70"/>
      <c r="V14" s="25"/>
      <c r="W14" s="70"/>
      <c r="X14" s="25"/>
      <c r="Y14" s="28"/>
    </row>
    <row r="15" spans="1:25">
      <c r="A15" s="10"/>
      <c r="B15" s="9" t="s">
        <v>128</v>
      </c>
      <c r="C15" s="9" t="s">
        <v>260</v>
      </c>
      <c r="D15" s="15" t="s">
        <v>241</v>
      </c>
      <c r="E15" s="9" t="s">
        <v>131</v>
      </c>
      <c r="F15" s="16"/>
      <c r="G15" s="9" t="s">
        <v>78</v>
      </c>
      <c r="H15" s="37"/>
      <c r="I15" s="47" t="s">
        <v>245</v>
      </c>
      <c r="J15" s="48"/>
      <c r="K15" s="49"/>
      <c r="L15" s="28"/>
      <c r="M15" s="22"/>
      <c r="N15" s="28"/>
      <c r="O15" s="9"/>
      <c r="P15" s="28"/>
      <c r="Q15" s="28"/>
      <c r="R15" s="22"/>
      <c r="S15" s="69"/>
      <c r="T15" s="69"/>
      <c r="U15" s="70"/>
      <c r="V15" s="25"/>
      <c r="W15" s="70"/>
      <c r="X15" s="25"/>
      <c r="Y15" s="28"/>
    </row>
    <row r="16" spans="1:25">
      <c r="A16" s="10"/>
      <c r="B16" s="9" t="s">
        <v>128</v>
      </c>
      <c r="C16" s="9" t="s">
        <v>260</v>
      </c>
      <c r="D16" s="15"/>
      <c r="E16" s="9"/>
      <c r="F16" s="16"/>
      <c r="G16" s="9" t="s">
        <v>141</v>
      </c>
      <c r="H16" s="37"/>
      <c r="I16" s="47"/>
      <c r="J16" s="50"/>
      <c r="K16" s="51"/>
      <c r="L16" s="36"/>
      <c r="M16" s="63"/>
      <c r="N16" s="36"/>
      <c r="O16" s="63"/>
      <c r="P16" s="36"/>
      <c r="Q16" s="63"/>
      <c r="R16" s="54"/>
      <c r="S16" s="72"/>
      <c r="T16" s="73"/>
      <c r="U16" s="72"/>
      <c r="V16" s="76"/>
      <c r="W16" s="72"/>
      <c r="X16" s="76"/>
      <c r="Y16" s="28"/>
    </row>
    <row r="17" spans="1:25">
      <c r="A17" s="10"/>
      <c r="B17" s="9" t="s">
        <v>128</v>
      </c>
      <c r="C17" s="9" t="s">
        <v>260</v>
      </c>
      <c r="D17" s="15"/>
      <c r="E17" s="9"/>
      <c r="F17" s="16"/>
      <c r="G17" s="9" t="s">
        <v>142</v>
      </c>
      <c r="H17" s="37"/>
      <c r="I17" s="47"/>
      <c r="J17" s="50"/>
      <c r="K17" s="51"/>
      <c r="L17" s="36"/>
      <c r="M17" s="63"/>
      <c r="N17" s="36"/>
      <c r="O17" s="63"/>
      <c r="P17" s="64"/>
      <c r="Q17" s="63"/>
      <c r="R17" s="73"/>
      <c r="S17" s="72"/>
      <c r="T17" s="72"/>
      <c r="U17" s="72"/>
      <c r="V17" s="76"/>
      <c r="W17" s="72"/>
      <c r="X17" s="76"/>
      <c r="Y17" s="28"/>
    </row>
    <row r="18" ht="16.5" spans="1:25">
      <c r="A18" s="10"/>
      <c r="B18" s="9" t="s">
        <v>128</v>
      </c>
      <c r="C18" s="9" t="s">
        <v>260</v>
      </c>
      <c r="D18" s="15"/>
      <c r="E18" s="9"/>
      <c r="F18" s="16"/>
      <c r="G18" s="9" t="s">
        <v>143</v>
      </c>
      <c r="H18" s="34"/>
      <c r="I18" s="47"/>
      <c r="J18" s="50"/>
      <c r="K18" s="52"/>
      <c r="L18" s="53"/>
      <c r="M18" s="65"/>
      <c r="N18" s="53"/>
      <c r="O18" s="65"/>
      <c r="P18" s="66"/>
      <c r="Q18" s="65"/>
      <c r="R18" s="54"/>
      <c r="S18" s="71"/>
      <c r="T18" s="71"/>
      <c r="U18" s="71"/>
      <c r="V18" s="27"/>
      <c r="W18" s="71"/>
      <c r="X18" s="27"/>
      <c r="Y18" s="28"/>
    </row>
    <row r="19" spans="1:25">
      <c r="A19" s="10"/>
      <c r="B19" s="9" t="s">
        <v>128</v>
      </c>
      <c r="C19" s="9" t="s">
        <v>260</v>
      </c>
      <c r="D19" s="15"/>
      <c r="E19" s="9" t="s">
        <v>134</v>
      </c>
      <c r="F19" s="16"/>
      <c r="G19" s="9" t="s">
        <v>78</v>
      </c>
      <c r="H19" s="37"/>
      <c r="I19" s="47"/>
      <c r="J19" s="50"/>
      <c r="K19" s="49"/>
      <c r="L19" s="54"/>
      <c r="M19" s="18"/>
      <c r="N19" s="54"/>
      <c r="O19" s="36"/>
      <c r="P19" s="54"/>
      <c r="Q19" s="54"/>
      <c r="R19" s="54"/>
      <c r="S19" s="74"/>
      <c r="T19" s="74"/>
      <c r="U19" s="72"/>
      <c r="V19" s="76"/>
      <c r="W19" s="72"/>
      <c r="X19" s="76"/>
      <c r="Y19" s="28"/>
    </row>
    <row r="20" spans="1:25">
      <c r="A20" s="10"/>
      <c r="B20" s="9" t="s">
        <v>128</v>
      </c>
      <c r="C20" s="9" t="s">
        <v>260</v>
      </c>
      <c r="D20" s="15"/>
      <c r="E20" s="9"/>
      <c r="F20" s="16"/>
      <c r="G20" s="9" t="s">
        <v>141</v>
      </c>
      <c r="H20" s="37"/>
      <c r="I20" s="47"/>
      <c r="J20" s="50"/>
      <c r="K20" s="51"/>
      <c r="L20" s="36"/>
      <c r="M20" s="63"/>
      <c r="N20" s="36"/>
      <c r="O20" s="63"/>
      <c r="P20" s="36"/>
      <c r="Q20" s="63"/>
      <c r="R20" s="54"/>
      <c r="S20" s="72"/>
      <c r="T20" s="72"/>
      <c r="U20" s="72"/>
      <c r="V20" s="76"/>
      <c r="W20" s="72"/>
      <c r="X20" s="76"/>
      <c r="Y20" s="28"/>
    </row>
    <row r="21" spans="1:25">
      <c r="A21" s="10"/>
      <c r="B21" s="9" t="s">
        <v>128</v>
      </c>
      <c r="C21" s="9" t="s">
        <v>260</v>
      </c>
      <c r="D21" s="15"/>
      <c r="E21" s="9"/>
      <c r="F21" s="16"/>
      <c r="G21" s="9" t="s">
        <v>142</v>
      </c>
      <c r="H21" s="37"/>
      <c r="I21" s="47"/>
      <c r="J21" s="50"/>
      <c r="K21" s="51"/>
      <c r="L21" s="36"/>
      <c r="M21" s="63"/>
      <c r="N21" s="36"/>
      <c r="O21" s="63"/>
      <c r="P21" s="64"/>
      <c r="Q21" s="63"/>
      <c r="R21" s="54"/>
      <c r="S21" s="72"/>
      <c r="T21" s="72"/>
      <c r="U21" s="72"/>
      <c r="V21" s="76"/>
      <c r="W21" s="72"/>
      <c r="X21" s="76"/>
      <c r="Y21" s="28"/>
    </row>
    <row r="22" ht="16.5" spans="1:25">
      <c r="A22" s="10"/>
      <c r="B22" s="9" t="s">
        <v>128</v>
      </c>
      <c r="C22" s="9" t="s">
        <v>260</v>
      </c>
      <c r="D22" s="15"/>
      <c r="E22" s="9"/>
      <c r="F22" s="16"/>
      <c r="G22" s="9" t="s">
        <v>143</v>
      </c>
      <c r="H22" s="34"/>
      <c r="I22" s="47"/>
      <c r="J22" s="50"/>
      <c r="K22" s="52"/>
      <c r="L22" s="53"/>
      <c r="M22" s="65"/>
      <c r="N22" s="53"/>
      <c r="O22" s="65"/>
      <c r="P22" s="66"/>
      <c r="Q22" s="65"/>
      <c r="R22" s="54"/>
      <c r="S22" s="71"/>
      <c r="T22" s="71"/>
      <c r="U22" s="71"/>
      <c r="V22" s="27"/>
      <c r="W22" s="71"/>
      <c r="X22" s="27"/>
      <c r="Y22" s="28"/>
    </row>
    <row r="23" spans="1:25">
      <c r="A23" s="10"/>
      <c r="B23" s="9" t="s">
        <v>128</v>
      </c>
      <c r="C23" s="9" t="s">
        <v>260</v>
      </c>
      <c r="D23" s="15"/>
      <c r="E23" s="9" t="s">
        <v>136</v>
      </c>
      <c r="F23" s="16"/>
      <c r="G23" s="9" t="s">
        <v>78</v>
      </c>
      <c r="H23" s="37"/>
      <c r="I23" s="47"/>
      <c r="J23" s="50"/>
      <c r="K23" s="49"/>
      <c r="L23" s="54"/>
      <c r="M23" s="18"/>
      <c r="N23" s="54"/>
      <c r="O23" s="36"/>
      <c r="P23" s="54"/>
      <c r="Q23" s="54"/>
      <c r="R23" s="54"/>
      <c r="S23" s="74"/>
      <c r="T23" s="74"/>
      <c r="U23" s="72"/>
      <c r="V23" s="76"/>
      <c r="W23" s="72"/>
      <c r="X23" s="76"/>
      <c r="Y23" s="28"/>
    </row>
    <row r="24" spans="1:25">
      <c r="A24" s="10"/>
      <c r="B24" s="9" t="s">
        <v>128</v>
      </c>
      <c r="C24" s="9" t="s">
        <v>260</v>
      </c>
      <c r="D24" s="15"/>
      <c r="E24" s="9"/>
      <c r="F24" s="16"/>
      <c r="G24" s="9" t="s">
        <v>141</v>
      </c>
      <c r="H24" s="37"/>
      <c r="I24" s="47"/>
      <c r="J24" s="50"/>
      <c r="K24" s="51"/>
      <c r="L24" s="36"/>
      <c r="M24" s="63"/>
      <c r="N24" s="36"/>
      <c r="O24" s="63"/>
      <c r="P24" s="36"/>
      <c r="Q24" s="63"/>
      <c r="R24" s="54"/>
      <c r="S24" s="72"/>
      <c r="T24" s="72"/>
      <c r="U24" s="72"/>
      <c r="V24" s="76"/>
      <c r="W24" s="72"/>
      <c r="X24" s="76"/>
      <c r="Y24" s="28"/>
    </row>
    <row r="25" spans="1:25">
      <c r="A25" s="10"/>
      <c r="B25" s="9" t="s">
        <v>128</v>
      </c>
      <c r="C25" s="9" t="s">
        <v>260</v>
      </c>
      <c r="D25" s="15"/>
      <c r="E25" s="9"/>
      <c r="F25" s="16"/>
      <c r="G25" s="9" t="s">
        <v>142</v>
      </c>
      <c r="H25" s="37"/>
      <c r="I25" s="47"/>
      <c r="J25" s="50"/>
      <c r="K25" s="51"/>
      <c r="L25" s="36"/>
      <c r="M25" s="63"/>
      <c r="N25" s="36"/>
      <c r="O25" s="63"/>
      <c r="P25" s="64"/>
      <c r="Q25" s="63"/>
      <c r="R25" s="54"/>
      <c r="S25" s="72"/>
      <c r="T25" s="72"/>
      <c r="U25" s="72"/>
      <c r="V25" s="76"/>
      <c r="W25" s="72"/>
      <c r="X25" s="76"/>
      <c r="Y25" s="28"/>
    </row>
    <row r="26" ht="16.5" spans="1:25">
      <c r="A26" s="10"/>
      <c r="B26" s="9" t="s">
        <v>128</v>
      </c>
      <c r="C26" s="9" t="s">
        <v>260</v>
      </c>
      <c r="D26" s="15"/>
      <c r="E26" s="9"/>
      <c r="F26" s="16"/>
      <c r="G26" s="9" t="s">
        <v>143</v>
      </c>
      <c r="H26" s="34"/>
      <c r="I26" s="55"/>
      <c r="J26" s="56"/>
      <c r="K26" s="52"/>
      <c r="L26" s="53"/>
      <c r="M26" s="65"/>
      <c r="N26" s="53"/>
      <c r="O26" s="65"/>
      <c r="P26" s="66"/>
      <c r="Q26" s="65"/>
      <c r="R26" s="54"/>
      <c r="S26" s="71"/>
      <c r="T26" s="71"/>
      <c r="U26" s="71"/>
      <c r="V26" s="27"/>
      <c r="W26" s="71"/>
      <c r="X26" s="27"/>
      <c r="Y26" s="28"/>
    </row>
    <row r="27" ht="32" customHeight="1" spans="1:25">
      <c r="A27" s="9"/>
      <c r="B27" s="9" t="s">
        <v>128</v>
      </c>
      <c r="C27" s="9" t="s">
        <v>260</v>
      </c>
      <c r="D27" s="15" t="s">
        <v>242</v>
      </c>
      <c r="E27" s="9" t="s">
        <v>131</v>
      </c>
      <c r="F27" s="18"/>
      <c r="G27" s="36" t="s">
        <v>78</v>
      </c>
      <c r="H27" s="35"/>
      <c r="I27" s="57" t="s">
        <v>245</v>
      </c>
      <c r="J27" s="58"/>
      <c r="K27" s="49"/>
      <c r="L27" s="28"/>
      <c r="M27" s="18"/>
      <c r="N27" s="28"/>
      <c r="O27" s="9"/>
      <c r="P27" s="28"/>
      <c r="Q27" s="28"/>
      <c r="R27" s="28"/>
      <c r="S27" s="69"/>
      <c r="T27" s="69"/>
      <c r="U27" s="70"/>
      <c r="V27" s="25"/>
      <c r="W27" s="70"/>
      <c r="X27" s="25"/>
      <c r="Y27" s="28"/>
    </row>
    <row r="28" ht="32" customHeight="1" spans="1:25">
      <c r="A28" s="9"/>
      <c r="B28" s="9" t="s">
        <v>128</v>
      </c>
      <c r="C28" s="9" t="s">
        <v>260</v>
      </c>
      <c r="D28" s="15"/>
      <c r="E28" s="9"/>
      <c r="F28" s="18"/>
      <c r="G28" s="36" t="s">
        <v>89</v>
      </c>
      <c r="H28" s="35"/>
      <c r="I28" s="57"/>
      <c r="J28" s="58"/>
      <c r="K28" s="43"/>
      <c r="L28" s="28"/>
      <c r="M28" s="22"/>
      <c r="N28" s="28"/>
      <c r="O28" s="22"/>
      <c r="P28" s="28"/>
      <c r="Q28" s="22"/>
      <c r="R28" s="22"/>
      <c r="S28" s="69"/>
      <c r="T28" s="69"/>
      <c r="U28" s="70"/>
      <c r="V28" s="25"/>
      <c r="W28" s="70"/>
      <c r="X28" s="25"/>
      <c r="Y28" s="28"/>
    </row>
    <row r="29" ht="32" customHeight="1" spans="1:25">
      <c r="A29" s="9"/>
      <c r="B29" s="9" t="s">
        <v>128</v>
      </c>
      <c r="C29" s="9" t="s">
        <v>260</v>
      </c>
      <c r="D29" s="15"/>
      <c r="E29" s="9" t="s">
        <v>134</v>
      </c>
      <c r="F29" s="18"/>
      <c r="G29" s="36" t="s">
        <v>78</v>
      </c>
      <c r="H29" s="35"/>
      <c r="I29" s="57"/>
      <c r="J29" s="58"/>
      <c r="K29" s="43"/>
      <c r="L29" s="28"/>
      <c r="M29" s="18"/>
      <c r="N29" s="28"/>
      <c r="O29" s="9"/>
      <c r="P29" s="28"/>
      <c r="Q29" s="28"/>
      <c r="R29" s="28"/>
      <c r="S29" s="69"/>
      <c r="T29" s="69"/>
      <c r="U29" s="70"/>
      <c r="V29" s="25"/>
      <c r="W29" s="70"/>
      <c r="X29" s="25"/>
      <c r="Y29" s="28"/>
    </row>
    <row r="30" ht="32" customHeight="1" spans="1:25">
      <c r="A30" s="9"/>
      <c r="B30" s="9" t="s">
        <v>128</v>
      </c>
      <c r="C30" s="9" t="s">
        <v>260</v>
      </c>
      <c r="D30" s="15"/>
      <c r="E30" s="9"/>
      <c r="F30" s="18"/>
      <c r="G30" s="36" t="s">
        <v>89</v>
      </c>
      <c r="H30" s="35"/>
      <c r="I30" s="57"/>
      <c r="J30" s="58"/>
      <c r="K30" s="43"/>
      <c r="L30" s="28"/>
      <c r="M30" s="22"/>
      <c r="N30" s="28"/>
      <c r="O30" s="22"/>
      <c r="P30" s="28"/>
      <c r="Q30" s="22"/>
      <c r="R30" s="22"/>
      <c r="S30" s="69"/>
      <c r="T30" s="69"/>
      <c r="U30" s="70"/>
      <c r="V30" s="25"/>
      <c r="W30" s="70"/>
      <c r="X30" s="25"/>
      <c r="Y30" s="28"/>
    </row>
    <row r="31" ht="32" customHeight="1" spans="1:25">
      <c r="A31" s="9"/>
      <c r="B31" s="9" t="s">
        <v>128</v>
      </c>
      <c r="C31" s="9" t="s">
        <v>260</v>
      </c>
      <c r="D31" s="15"/>
      <c r="E31" s="9" t="s">
        <v>136</v>
      </c>
      <c r="F31" s="18"/>
      <c r="G31" s="36" t="s">
        <v>78</v>
      </c>
      <c r="H31" s="35"/>
      <c r="I31" s="57"/>
      <c r="J31" s="58"/>
      <c r="K31" s="43"/>
      <c r="L31" s="28"/>
      <c r="M31" s="18"/>
      <c r="N31" s="28"/>
      <c r="O31" s="9"/>
      <c r="P31" s="28"/>
      <c r="Q31" s="28"/>
      <c r="R31" s="28"/>
      <c r="S31" s="69"/>
      <c r="T31" s="69"/>
      <c r="U31" s="70"/>
      <c r="V31" s="25"/>
      <c r="W31" s="70"/>
      <c r="X31" s="25"/>
      <c r="Y31" s="28"/>
    </row>
    <row r="32" ht="32" customHeight="1" spans="1:25">
      <c r="A32" s="9"/>
      <c r="B32" s="9" t="s">
        <v>128</v>
      </c>
      <c r="C32" s="9" t="s">
        <v>260</v>
      </c>
      <c r="D32" s="15"/>
      <c r="E32" s="9"/>
      <c r="F32" s="18"/>
      <c r="G32" s="36" t="s">
        <v>89</v>
      </c>
      <c r="H32" s="35"/>
      <c r="I32" s="57"/>
      <c r="J32" s="58"/>
      <c r="K32" s="43"/>
      <c r="L32" s="28"/>
      <c r="M32" s="22"/>
      <c r="N32" s="28"/>
      <c r="O32" s="22"/>
      <c r="P32" s="28"/>
      <c r="Q32" s="22"/>
      <c r="R32" s="22"/>
      <c r="S32" s="69"/>
      <c r="T32" s="69"/>
      <c r="U32" s="70"/>
      <c r="V32" s="25"/>
      <c r="W32" s="70"/>
      <c r="X32" s="25"/>
      <c r="Y32" s="28"/>
    </row>
    <row r="33" spans="1:25">
      <c r="A33" s="11"/>
      <c r="B33" s="9" t="s">
        <v>128</v>
      </c>
      <c r="C33" s="9" t="s">
        <v>260</v>
      </c>
      <c r="D33" s="17" t="s">
        <v>243</v>
      </c>
      <c r="E33" s="9" t="s">
        <v>131</v>
      </c>
      <c r="F33" s="18"/>
      <c r="G33" s="18" t="s">
        <v>78</v>
      </c>
      <c r="H33" s="37"/>
      <c r="I33" s="57" t="s">
        <v>245</v>
      </c>
      <c r="J33" s="58"/>
      <c r="K33" s="49"/>
      <c r="L33" s="54"/>
      <c r="M33" s="60"/>
      <c r="N33" s="54"/>
      <c r="O33" s="36"/>
      <c r="P33" s="54"/>
      <c r="Q33" s="54"/>
      <c r="R33" s="54"/>
      <c r="S33" s="74"/>
      <c r="T33" s="74"/>
      <c r="U33" s="72"/>
      <c r="V33" s="76"/>
      <c r="W33" s="72"/>
      <c r="X33" s="76"/>
      <c r="Y33" s="18"/>
    </row>
    <row r="34" spans="1:25">
      <c r="A34" s="11"/>
      <c r="B34" s="9" t="s">
        <v>128</v>
      </c>
      <c r="C34" s="9" t="s">
        <v>260</v>
      </c>
      <c r="D34" s="17"/>
      <c r="E34" s="9"/>
      <c r="F34" s="18"/>
      <c r="G34" s="18" t="s">
        <v>153</v>
      </c>
      <c r="H34" s="18"/>
      <c r="I34" s="57"/>
      <c r="J34" s="58"/>
      <c r="K34" s="59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18"/>
    </row>
    <row r="35" spans="1:25">
      <c r="A35" s="11"/>
      <c r="B35" s="9" t="s">
        <v>128</v>
      </c>
      <c r="C35" s="9" t="s">
        <v>260</v>
      </c>
      <c r="D35" s="17"/>
      <c r="E35" s="9"/>
      <c r="F35" s="18"/>
      <c r="G35" s="18" t="s">
        <v>154</v>
      </c>
      <c r="H35" s="18"/>
      <c r="I35" s="57"/>
      <c r="J35" s="58"/>
      <c r="K35" s="59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18"/>
    </row>
    <row r="36" spans="1:25">
      <c r="A36" s="11"/>
      <c r="B36" s="9" t="s">
        <v>128</v>
      </c>
      <c r="C36" s="9" t="s">
        <v>260</v>
      </c>
      <c r="D36" s="17"/>
      <c r="E36" s="9"/>
      <c r="F36" s="18"/>
      <c r="G36" s="18" t="s">
        <v>95</v>
      </c>
      <c r="H36" s="37"/>
      <c r="I36" s="57"/>
      <c r="J36" s="58"/>
      <c r="K36" s="51"/>
      <c r="L36" s="36"/>
      <c r="M36" s="63"/>
      <c r="N36" s="36"/>
      <c r="O36" s="63"/>
      <c r="P36" s="36"/>
      <c r="Q36" s="63"/>
      <c r="R36" s="54"/>
      <c r="S36" s="72"/>
      <c r="T36" s="72"/>
      <c r="U36" s="72"/>
      <c r="V36" s="77"/>
      <c r="W36" s="72"/>
      <c r="X36" s="77"/>
      <c r="Y36" s="18"/>
    </row>
    <row r="37" spans="1:25">
      <c r="A37" s="11"/>
      <c r="B37" s="9" t="s">
        <v>128</v>
      </c>
      <c r="C37" s="9" t="s">
        <v>260</v>
      </c>
      <c r="D37" s="17"/>
      <c r="E37" s="18" t="s">
        <v>134</v>
      </c>
      <c r="F37" s="18"/>
      <c r="G37" s="18" t="s">
        <v>78</v>
      </c>
      <c r="H37" s="37"/>
      <c r="I37" s="57"/>
      <c r="J37" s="58"/>
      <c r="K37" s="49"/>
      <c r="L37" s="54"/>
      <c r="M37" s="60"/>
      <c r="N37" s="54"/>
      <c r="O37" s="36"/>
      <c r="P37" s="54"/>
      <c r="Q37" s="54"/>
      <c r="R37" s="54"/>
      <c r="S37" s="74"/>
      <c r="T37" s="74"/>
      <c r="U37" s="72"/>
      <c r="V37" s="76"/>
      <c r="W37" s="72"/>
      <c r="X37" s="76"/>
      <c r="Y37" s="18"/>
    </row>
    <row r="38" spans="1:25">
      <c r="A38" s="11"/>
      <c r="B38" s="9" t="s">
        <v>128</v>
      </c>
      <c r="C38" s="9" t="s">
        <v>260</v>
      </c>
      <c r="D38" s="17"/>
      <c r="E38" s="18"/>
      <c r="F38" s="18"/>
      <c r="G38" s="18" t="s">
        <v>153</v>
      </c>
      <c r="H38" s="18"/>
      <c r="I38" s="57"/>
      <c r="J38" s="58"/>
      <c r="K38" s="59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18"/>
    </row>
    <row r="39" spans="1:25">
      <c r="A39" s="11"/>
      <c r="B39" s="9" t="s">
        <v>128</v>
      </c>
      <c r="C39" s="9" t="s">
        <v>260</v>
      </c>
      <c r="D39" s="17"/>
      <c r="E39" s="18"/>
      <c r="F39" s="18"/>
      <c r="G39" s="18" t="s">
        <v>154</v>
      </c>
      <c r="H39" s="18"/>
      <c r="I39" s="57"/>
      <c r="J39" s="58"/>
      <c r="K39" s="59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18"/>
    </row>
    <row r="40" spans="1:25">
      <c r="A40" s="11"/>
      <c r="B40" s="9" t="s">
        <v>128</v>
      </c>
      <c r="C40" s="9" t="s">
        <v>260</v>
      </c>
      <c r="D40" s="17"/>
      <c r="E40" s="18"/>
      <c r="F40" s="18"/>
      <c r="G40" s="18" t="s">
        <v>95</v>
      </c>
      <c r="H40" s="37"/>
      <c r="I40" s="57"/>
      <c r="J40" s="58"/>
      <c r="K40" s="51"/>
      <c r="L40" s="36"/>
      <c r="M40" s="63"/>
      <c r="N40" s="36"/>
      <c r="O40" s="63"/>
      <c r="P40" s="36"/>
      <c r="Q40" s="63"/>
      <c r="R40" s="54"/>
      <c r="S40" s="72"/>
      <c r="T40" s="72"/>
      <c r="U40" s="72"/>
      <c r="V40" s="77"/>
      <c r="W40" s="72"/>
      <c r="X40" s="77"/>
      <c r="Y40" s="18"/>
    </row>
    <row r="41" spans="1:25">
      <c r="A41" s="11"/>
      <c r="B41" s="9" t="s">
        <v>128</v>
      </c>
      <c r="C41" s="9" t="s">
        <v>260</v>
      </c>
      <c r="D41" s="17"/>
      <c r="E41" s="18" t="s">
        <v>136</v>
      </c>
      <c r="F41" s="18"/>
      <c r="G41" s="18" t="s">
        <v>78</v>
      </c>
      <c r="H41" s="37"/>
      <c r="I41" s="57"/>
      <c r="J41" s="58"/>
      <c r="K41" s="49"/>
      <c r="L41" s="54"/>
      <c r="M41" s="60"/>
      <c r="N41" s="54"/>
      <c r="O41" s="36"/>
      <c r="P41" s="54"/>
      <c r="Q41" s="54"/>
      <c r="R41" s="54"/>
      <c r="S41" s="74"/>
      <c r="T41" s="74"/>
      <c r="U41" s="72"/>
      <c r="V41" s="76"/>
      <c r="W41" s="72"/>
      <c r="X41" s="76"/>
      <c r="Y41" s="18"/>
    </row>
    <row r="42" spans="1:25">
      <c r="A42" s="11"/>
      <c r="B42" s="9" t="s">
        <v>128</v>
      </c>
      <c r="C42" s="9" t="s">
        <v>260</v>
      </c>
      <c r="D42" s="17"/>
      <c r="E42" s="18"/>
      <c r="F42" s="18"/>
      <c r="G42" s="18" t="s">
        <v>153</v>
      </c>
      <c r="H42" s="18"/>
      <c r="I42" s="57"/>
      <c r="J42" s="58"/>
      <c r="K42" s="59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18"/>
    </row>
    <row r="43" spans="1:25">
      <c r="A43" s="11"/>
      <c r="B43" s="9" t="s">
        <v>128</v>
      </c>
      <c r="C43" s="9" t="s">
        <v>260</v>
      </c>
      <c r="D43" s="17"/>
      <c r="E43" s="18"/>
      <c r="F43" s="18"/>
      <c r="G43" s="18" t="s">
        <v>154</v>
      </c>
      <c r="H43" s="18"/>
      <c r="I43" s="57"/>
      <c r="J43" s="58"/>
      <c r="K43" s="59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18"/>
    </row>
    <row r="44" spans="1:25">
      <c r="A44" s="11"/>
      <c r="B44" s="9" t="s">
        <v>128</v>
      </c>
      <c r="C44" s="9" t="s">
        <v>260</v>
      </c>
      <c r="D44" s="17"/>
      <c r="E44" s="18"/>
      <c r="F44" s="18"/>
      <c r="G44" s="18" t="s">
        <v>95</v>
      </c>
      <c r="H44" s="37"/>
      <c r="I44" s="57"/>
      <c r="J44" s="58"/>
      <c r="K44" s="51"/>
      <c r="L44" s="36"/>
      <c r="M44" s="63"/>
      <c r="N44" s="36"/>
      <c r="O44" s="63"/>
      <c r="P44" s="36"/>
      <c r="Q44" s="63"/>
      <c r="R44" s="54"/>
      <c r="S44" s="72"/>
      <c r="T44" s="72"/>
      <c r="U44" s="72"/>
      <c r="V44" s="77"/>
      <c r="W44" s="72"/>
      <c r="X44" s="77"/>
      <c r="Y44" s="18"/>
    </row>
    <row r="48" spans="10:10">
      <c r="J48" s="30"/>
    </row>
  </sheetData>
  <autoFilter ref="A2:F44">
    <extLst/>
  </autoFilter>
  <mergeCells count="40">
    <mergeCell ref="D3:D14"/>
    <mergeCell ref="D15:D26"/>
    <mergeCell ref="D27:D32"/>
    <mergeCell ref="D33:D44"/>
    <mergeCell ref="E3:E6"/>
    <mergeCell ref="E7:E10"/>
    <mergeCell ref="E11:E14"/>
    <mergeCell ref="E15:E18"/>
    <mergeCell ref="E19:E22"/>
    <mergeCell ref="E23:E26"/>
    <mergeCell ref="E27:E28"/>
    <mergeCell ref="E29:E30"/>
    <mergeCell ref="E31:E32"/>
    <mergeCell ref="E33:E36"/>
    <mergeCell ref="E37:E40"/>
    <mergeCell ref="E41:E44"/>
    <mergeCell ref="F3:F6"/>
    <mergeCell ref="F7:F10"/>
    <mergeCell ref="F11:F14"/>
    <mergeCell ref="F15:F18"/>
    <mergeCell ref="F19:F22"/>
    <mergeCell ref="F23:F26"/>
    <mergeCell ref="F27:F28"/>
    <mergeCell ref="F29:F30"/>
    <mergeCell ref="F31:F32"/>
    <mergeCell ref="F33:F36"/>
    <mergeCell ref="F37:F40"/>
    <mergeCell ref="F41:F44"/>
    <mergeCell ref="I3:I14"/>
    <mergeCell ref="I15:I26"/>
    <mergeCell ref="I27:I32"/>
    <mergeCell ref="I33:I44"/>
    <mergeCell ref="J3:J14"/>
    <mergeCell ref="J15:J26"/>
    <mergeCell ref="J27:J32"/>
    <mergeCell ref="J33:J44"/>
    <mergeCell ref="Y3:Y14"/>
    <mergeCell ref="Y15:Y26"/>
    <mergeCell ref="Y27:Y32"/>
    <mergeCell ref="Y33:Y44"/>
  </mergeCells>
  <conditionalFormatting sqref="I3">
    <cfRule type="cellIs" dxfId="4" priority="28" operator="equal">
      <formula>"Fail"</formula>
    </cfRule>
    <cfRule type="cellIs" dxfId="2" priority="27" operator="equal">
      <formula>"Pass"</formula>
    </cfRule>
    <cfRule type="cellIs" dxfId="0" priority="26" operator="equal">
      <formula>"Ongoing"</formula>
    </cfRule>
    <cfRule type="cellIs" dxfId="5" priority="25" operator="equal">
      <formula>"Not started"</formula>
    </cfRule>
    <cfRule type="cellIs" dxfId="1" priority="24" operator="equal">
      <formula>"Not stared"</formula>
    </cfRule>
    <cfRule type="cellIs" dxfId="3" priority="23" operator="equal">
      <formula>"N/A"</formula>
    </cfRule>
    <cfRule type="cellIs" dxfId="6" priority="22" operator="equal">
      <formula>"Not started"</formula>
    </cfRule>
  </conditionalFormatting>
  <conditionalFormatting sqref="I15">
    <cfRule type="cellIs" dxfId="4" priority="7" operator="equal">
      <formula>"Fail"</formula>
    </cfRule>
    <cfRule type="cellIs" dxfId="2" priority="6" operator="equal">
      <formula>"Pass"</formula>
    </cfRule>
    <cfRule type="cellIs" dxfId="0" priority="5" operator="equal">
      <formula>"Ongoing"</formula>
    </cfRule>
    <cfRule type="cellIs" dxfId="5" priority="4" operator="equal">
      <formula>"Not started"</formula>
    </cfRule>
    <cfRule type="cellIs" dxfId="1" priority="3" operator="equal">
      <formula>"Not stared"</formula>
    </cfRule>
    <cfRule type="cellIs" dxfId="3" priority="2" operator="equal">
      <formula>"N/A"</formula>
    </cfRule>
    <cfRule type="cellIs" dxfId="6" priority="1" operator="equal">
      <formula>"Not started"</formula>
    </cfRule>
  </conditionalFormatting>
  <conditionalFormatting sqref="I27">
    <cfRule type="cellIs" dxfId="4" priority="21" operator="equal">
      <formula>"Fail"</formula>
    </cfRule>
    <cfRule type="cellIs" dxfId="2" priority="20" operator="equal">
      <formula>"Pass"</formula>
    </cfRule>
    <cfRule type="cellIs" dxfId="0" priority="19" operator="equal">
      <formula>"Ongoing"</formula>
    </cfRule>
    <cfRule type="cellIs" dxfId="5" priority="18" operator="equal">
      <formula>"Not started"</formula>
    </cfRule>
    <cfRule type="cellIs" dxfId="1" priority="17" operator="equal">
      <formula>"Not stared"</formula>
    </cfRule>
    <cfRule type="cellIs" dxfId="3" priority="16" operator="equal">
      <formula>"N/A"</formula>
    </cfRule>
    <cfRule type="cellIs" dxfId="6" priority="15" operator="equal">
      <formula>"Not started"</formula>
    </cfRule>
  </conditionalFormatting>
  <conditionalFormatting sqref="I33">
    <cfRule type="cellIs" dxfId="4" priority="14" operator="equal">
      <formula>"Fail"</formula>
    </cfRule>
    <cfRule type="cellIs" dxfId="2" priority="13" operator="equal">
      <formula>"Pass"</formula>
    </cfRule>
    <cfRule type="cellIs" dxfId="0" priority="12" operator="equal">
      <formula>"Ongoing"</formula>
    </cfRule>
    <cfRule type="cellIs" dxfId="5" priority="11" operator="equal">
      <formula>"Not started"</formula>
    </cfRule>
    <cfRule type="cellIs" dxfId="1" priority="10" operator="equal">
      <formula>"Not stared"</formula>
    </cfRule>
    <cfRule type="cellIs" dxfId="3" priority="9" operator="equal">
      <formula>"N/A"</formula>
    </cfRule>
    <cfRule type="cellIs" dxfId="6" priority="8" operator="equal">
      <formula>"Not started"</formula>
    </cfRule>
  </conditionalFormatting>
  <dataValidations count="1">
    <dataValidation type="list" allowBlank="1" showInputMessage="1" showErrorMessage="1" sqref="I3 I7 I11 I15 I27 I29 I31 I33">
      <formula1>"Fail,Pass,Ongoing,Not started,N/A"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4"/>
  <sheetViews>
    <sheetView zoomScale="60" zoomScaleNormal="60" workbookViewId="0">
      <pane xSplit="8" ySplit="2" topLeftCell="I3" activePane="bottomRight" state="frozen"/>
      <selection/>
      <selection pane="topRight"/>
      <selection pane="bottomLeft"/>
      <selection pane="bottomRight" activeCell="J13" sqref="J13"/>
    </sheetView>
  </sheetViews>
  <sheetFormatPr defaultColWidth="8.73333333333333" defaultRowHeight="50" customHeight="1"/>
  <cols>
    <col min="1" max="2" width="8.81333333333333" style="4" hidden="1" customWidth="1"/>
    <col min="3" max="3" width="21.1866666666667" style="4" hidden="1" customWidth="1"/>
    <col min="4" max="4" width="13.4088888888889" style="4" customWidth="1"/>
    <col min="5" max="5" width="26.36" style="5" customWidth="1"/>
    <col min="6" max="6" width="9.09333333333333" style="6" customWidth="1"/>
    <col min="7" max="7" width="8.81333333333333" style="6" customWidth="1"/>
    <col min="8" max="8" width="24.36" style="6" customWidth="1"/>
    <col min="9" max="9" width="12.64" style="4" customWidth="1"/>
    <col min="10" max="13" width="11.5466666666667" style="4" customWidth="1"/>
    <col min="14" max="15" width="17.2666666666667" style="4" customWidth="1"/>
    <col min="16" max="19" width="11.5466666666667" style="4" customWidth="1"/>
    <col min="20" max="20" width="9.54666666666667" style="4" customWidth="1"/>
    <col min="21" max="25" width="11.5466666666667" style="4" customWidth="1"/>
    <col min="26" max="26" width="16.9644444444444" style="4" customWidth="1"/>
    <col min="27" max="42" width="11.5466666666667" style="4" customWidth="1"/>
    <col min="43" max="43" width="21.8133333333333" style="4" customWidth="1"/>
    <col min="44" max="44" width="21.8133333333333" style="7" customWidth="1"/>
    <col min="45" max="45" width="22.0444444444444" style="4" customWidth="1"/>
    <col min="46" max="46" width="25" style="7" customWidth="1"/>
    <col min="47" max="47" width="12.12" style="6" customWidth="1"/>
    <col min="48" max="49" width="70.64" style="4" customWidth="1"/>
    <col min="50" max="50" width="160" style="4" customWidth="1"/>
    <col min="51" max="51" width="48.64" style="4" customWidth="1"/>
    <col min="52" max="16384" width="8.73333333333333" style="4"/>
  </cols>
  <sheetData>
    <row r="1" s="1" customFormat="1" ht="26" customHeight="1" spans="1:50">
      <c r="A1" s="8" t="s">
        <v>189</v>
      </c>
      <c r="B1" s="8"/>
      <c r="C1" s="8"/>
      <c r="D1" s="8"/>
      <c r="E1" s="12" t="s">
        <v>190</v>
      </c>
      <c r="F1" s="13"/>
      <c r="G1" s="13"/>
      <c r="H1" s="13"/>
      <c r="I1" s="19" t="s">
        <v>191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 t="s">
        <v>192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 t="s">
        <v>193</v>
      </c>
      <c r="AR1" s="22"/>
      <c r="AS1" s="21"/>
      <c r="AT1" s="22"/>
      <c r="AU1" s="21"/>
      <c r="AV1" s="23" t="s">
        <v>194</v>
      </c>
      <c r="AW1" s="23"/>
      <c r="AX1" s="23"/>
    </row>
    <row r="2" s="2" customFormat="1" ht="36" customHeight="1" spans="1:50">
      <c r="A2" s="8" t="s">
        <v>109</v>
      </c>
      <c r="B2" s="8" t="s">
        <v>110</v>
      </c>
      <c r="C2" s="8" t="s">
        <v>195</v>
      </c>
      <c r="D2" s="8" t="s">
        <v>196</v>
      </c>
      <c r="E2" s="12" t="s">
        <v>112</v>
      </c>
      <c r="F2" s="13" t="s">
        <v>114</v>
      </c>
      <c r="G2" s="13" t="s">
        <v>197</v>
      </c>
      <c r="H2" s="14" t="s">
        <v>113</v>
      </c>
      <c r="I2" s="19" t="s">
        <v>198</v>
      </c>
      <c r="J2" s="19" t="s">
        <v>199</v>
      </c>
      <c r="K2" s="19" t="s">
        <v>200</v>
      </c>
      <c r="L2" s="19" t="s">
        <v>201</v>
      </c>
      <c r="M2" s="19" t="s">
        <v>202</v>
      </c>
      <c r="N2" s="19" t="s">
        <v>203</v>
      </c>
      <c r="O2" s="19" t="s">
        <v>204</v>
      </c>
      <c r="P2" s="19" t="s">
        <v>205</v>
      </c>
      <c r="Q2" s="19" t="s">
        <v>206</v>
      </c>
      <c r="R2" s="19" t="s">
        <v>207</v>
      </c>
      <c r="S2" s="19" t="s">
        <v>208</v>
      </c>
      <c r="T2" s="19" t="s">
        <v>209</v>
      </c>
      <c r="U2" s="19" t="s">
        <v>210</v>
      </c>
      <c r="V2" s="19" t="s">
        <v>211</v>
      </c>
      <c r="W2" s="19" t="s">
        <v>212</v>
      </c>
      <c r="X2" s="19" t="s">
        <v>213</v>
      </c>
      <c r="Y2" s="19" t="s">
        <v>214</v>
      </c>
      <c r="Z2" s="20" t="s">
        <v>215</v>
      </c>
      <c r="AA2" s="20" t="s">
        <v>216</v>
      </c>
      <c r="AB2" s="20" t="s">
        <v>217</v>
      </c>
      <c r="AC2" s="20" t="s">
        <v>218</v>
      </c>
      <c r="AD2" s="20" t="s">
        <v>219</v>
      </c>
      <c r="AE2" s="20" t="s">
        <v>220</v>
      </c>
      <c r="AF2" s="20" t="s">
        <v>221</v>
      </c>
      <c r="AG2" s="20" t="s">
        <v>222</v>
      </c>
      <c r="AH2" s="20" t="s">
        <v>223</v>
      </c>
      <c r="AI2" s="20" t="s">
        <v>224</v>
      </c>
      <c r="AJ2" s="20" t="s">
        <v>225</v>
      </c>
      <c r="AK2" s="20" t="s">
        <v>226</v>
      </c>
      <c r="AL2" s="20" t="s">
        <v>227</v>
      </c>
      <c r="AM2" s="20" t="s">
        <v>228</v>
      </c>
      <c r="AN2" s="20" t="s">
        <v>229</v>
      </c>
      <c r="AO2" s="20" t="s">
        <v>230</v>
      </c>
      <c r="AP2" s="20" t="s">
        <v>231</v>
      </c>
      <c r="AQ2" s="23" t="s">
        <v>232</v>
      </c>
      <c r="AR2" s="23" t="s">
        <v>233</v>
      </c>
      <c r="AS2" s="21" t="s">
        <v>234</v>
      </c>
      <c r="AT2" s="21" t="s">
        <v>235</v>
      </c>
      <c r="AU2" s="21" t="s">
        <v>236</v>
      </c>
      <c r="AV2" s="23" t="s">
        <v>237</v>
      </c>
      <c r="AW2" s="23" t="s">
        <v>238</v>
      </c>
      <c r="AX2" s="23" t="s">
        <v>239</v>
      </c>
    </row>
    <row r="3" s="3" customFormat="1" customHeight="1" spans="1:50">
      <c r="A3" s="9"/>
      <c r="B3" s="9"/>
      <c r="C3" s="9"/>
      <c r="D3" s="9" t="s">
        <v>260</v>
      </c>
      <c r="E3" s="15" t="s">
        <v>240</v>
      </c>
      <c r="F3" s="9" t="s">
        <v>78</v>
      </c>
      <c r="G3" s="9" t="s">
        <v>131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24">
        <f t="shared" ref="AQ3:AQ8" si="0">MIN(I3:Y3)</f>
        <v>0</v>
      </c>
      <c r="AR3" s="25"/>
      <c r="AS3" s="24">
        <f t="shared" ref="AS3:AS8" si="1">MIN(Z3:AP3)</f>
        <v>0</v>
      </c>
      <c r="AT3" s="25"/>
      <c r="AU3" s="25"/>
      <c r="AV3" s="28"/>
      <c r="AW3" s="28"/>
      <c r="AX3" s="28"/>
    </row>
    <row r="4" s="3" customFormat="1" customHeight="1" spans="1:50">
      <c r="A4" s="9"/>
      <c r="B4" s="9"/>
      <c r="C4" s="9"/>
      <c r="D4" s="9" t="s">
        <v>260</v>
      </c>
      <c r="E4" s="15"/>
      <c r="F4" s="9" t="s">
        <v>92</v>
      </c>
      <c r="G4" s="9" t="s">
        <v>131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24">
        <f t="shared" si="0"/>
        <v>0</v>
      </c>
      <c r="AR4" s="25" t="e">
        <f>(AQ3-AQ4)/AQ3</f>
        <v>#DIV/0!</v>
      </c>
      <c r="AS4" s="24">
        <f t="shared" si="1"/>
        <v>0</v>
      </c>
      <c r="AT4" s="25" t="e">
        <f>(AS3-AS4)/AS3</f>
        <v>#DIV/0!</v>
      </c>
      <c r="AU4" s="25"/>
      <c r="AV4" s="28"/>
      <c r="AW4" s="28"/>
      <c r="AX4" s="28"/>
    </row>
    <row r="5" s="3" customFormat="1" customHeight="1" spans="1:50">
      <c r="A5" s="9"/>
      <c r="B5" s="9"/>
      <c r="C5" s="9"/>
      <c r="D5" s="9" t="s">
        <v>260</v>
      </c>
      <c r="E5" s="15"/>
      <c r="F5" s="9" t="s">
        <v>107</v>
      </c>
      <c r="G5" s="9" t="s">
        <v>131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24" t="s">
        <v>26</v>
      </c>
      <c r="AR5" s="25" t="s">
        <v>26</v>
      </c>
      <c r="AS5" s="24" t="s">
        <v>26</v>
      </c>
      <c r="AT5" s="25"/>
      <c r="AU5" s="25"/>
      <c r="AV5" s="28"/>
      <c r="AW5" s="28"/>
      <c r="AX5" s="28"/>
    </row>
    <row r="6" s="3" customFormat="1" customHeight="1" spans="1:50">
      <c r="A6" s="9"/>
      <c r="B6" s="9"/>
      <c r="C6" s="9"/>
      <c r="D6" s="9" t="s">
        <v>260</v>
      </c>
      <c r="E6" s="15"/>
      <c r="F6" s="9" t="s">
        <v>133</v>
      </c>
      <c r="G6" s="9" t="s">
        <v>131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26">
        <f>MIN(I6:Y6)</f>
        <v>0</v>
      </c>
      <c r="AR6" s="27" t="e">
        <f>(AQ3-AQ6)/AQ3</f>
        <v>#DIV/0!</v>
      </c>
      <c r="AS6" s="26">
        <f>MIN(Z6:AP6)</f>
        <v>0</v>
      </c>
      <c r="AT6" s="27" t="e">
        <f>(AS3-AS6)/AS3</f>
        <v>#DIV/0!</v>
      </c>
      <c r="AU6" s="25"/>
      <c r="AV6" s="28"/>
      <c r="AW6" s="28"/>
      <c r="AX6" s="28"/>
    </row>
    <row r="7" s="3" customFormat="1" customHeight="1" spans="1:50">
      <c r="A7" s="9"/>
      <c r="B7" s="9"/>
      <c r="C7" s="9"/>
      <c r="D7" s="9" t="s">
        <v>260</v>
      </c>
      <c r="E7" s="15"/>
      <c r="F7" s="9" t="s">
        <v>78</v>
      </c>
      <c r="G7" s="9" t="s">
        <v>134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24">
        <f t="shared" si="0"/>
        <v>0</v>
      </c>
      <c r="AR7" s="25"/>
      <c r="AS7" s="24">
        <f t="shared" si="1"/>
        <v>0</v>
      </c>
      <c r="AT7" s="25"/>
      <c r="AU7" s="25"/>
      <c r="AV7" s="28"/>
      <c r="AW7" s="28"/>
      <c r="AX7" s="28"/>
    </row>
    <row r="8" s="3" customFormat="1" customHeight="1" spans="1:50">
      <c r="A8" s="9"/>
      <c r="B8" s="9"/>
      <c r="C8" s="9"/>
      <c r="D8" s="9" t="s">
        <v>260</v>
      </c>
      <c r="E8" s="15"/>
      <c r="F8" s="9" t="s">
        <v>92</v>
      </c>
      <c r="G8" s="9" t="s">
        <v>134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24">
        <f t="shared" si="0"/>
        <v>0</v>
      </c>
      <c r="AR8" s="25" t="e">
        <f>(AQ7-AQ8)/AQ7</f>
        <v>#DIV/0!</v>
      </c>
      <c r="AS8" s="24">
        <f t="shared" si="1"/>
        <v>0</v>
      </c>
      <c r="AT8" s="25" t="e">
        <f>(AS7-AS8)/AS7</f>
        <v>#DIV/0!</v>
      </c>
      <c r="AU8" s="25"/>
      <c r="AV8" s="28"/>
      <c r="AW8" s="28"/>
      <c r="AX8" s="28"/>
    </row>
    <row r="9" s="3" customFormat="1" customHeight="1" spans="1:50">
      <c r="A9" s="9"/>
      <c r="B9" s="9"/>
      <c r="C9" s="9"/>
      <c r="D9" s="9" t="s">
        <v>260</v>
      </c>
      <c r="E9" s="15"/>
      <c r="F9" s="9" t="s">
        <v>107</v>
      </c>
      <c r="G9" s="9" t="s">
        <v>134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24" t="s">
        <v>26</v>
      </c>
      <c r="AR9" s="25" t="s">
        <v>26</v>
      </c>
      <c r="AS9" s="24" t="s">
        <v>26</v>
      </c>
      <c r="AT9" s="25"/>
      <c r="AU9" s="25"/>
      <c r="AV9" s="28"/>
      <c r="AW9" s="28"/>
      <c r="AX9" s="28"/>
    </row>
    <row r="10" s="3" customFormat="1" customHeight="1" spans="1:50">
      <c r="A10" s="9"/>
      <c r="B10" s="9"/>
      <c r="C10" s="9"/>
      <c r="D10" s="9" t="s">
        <v>260</v>
      </c>
      <c r="E10" s="15"/>
      <c r="F10" s="9" t="s">
        <v>133</v>
      </c>
      <c r="G10" s="9" t="s">
        <v>134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26">
        <f>MIN(I10:Y10)</f>
        <v>0</v>
      </c>
      <c r="AR10" s="27" t="e">
        <f>(AQ7-AQ10)/AQ7</f>
        <v>#DIV/0!</v>
      </c>
      <c r="AS10" s="26">
        <f>MIN(Z10:AP10)</f>
        <v>0</v>
      </c>
      <c r="AT10" s="27" t="e">
        <f>(AS7-AS10)/AS7</f>
        <v>#DIV/0!</v>
      </c>
      <c r="AU10" s="25"/>
      <c r="AV10" s="28"/>
      <c r="AW10" s="28"/>
      <c r="AX10" s="28"/>
    </row>
    <row r="11" s="3" customFormat="1" customHeight="1" spans="1:50">
      <c r="A11" s="9"/>
      <c r="B11" s="9"/>
      <c r="C11" s="9"/>
      <c r="D11" s="9" t="s">
        <v>260</v>
      </c>
      <c r="E11" s="15"/>
      <c r="F11" s="9" t="s">
        <v>78</v>
      </c>
      <c r="G11" s="9" t="s">
        <v>136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24">
        <f>MIN(I11:Y11)</f>
        <v>0</v>
      </c>
      <c r="AR11" s="25"/>
      <c r="AS11" s="24">
        <f>MIN(Z11:AP11)</f>
        <v>0</v>
      </c>
      <c r="AT11" s="25"/>
      <c r="AU11" s="25"/>
      <c r="AV11" s="28"/>
      <c r="AW11" s="28"/>
      <c r="AX11" s="28"/>
    </row>
    <row r="12" s="3" customFormat="1" customHeight="1" spans="1:50">
      <c r="A12" s="9"/>
      <c r="B12" s="9"/>
      <c r="C12" s="9"/>
      <c r="D12" s="9" t="s">
        <v>260</v>
      </c>
      <c r="E12" s="15"/>
      <c r="F12" s="9" t="s">
        <v>92</v>
      </c>
      <c r="G12" s="9" t="s">
        <v>136</v>
      </c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24">
        <f>MIN(I12:Y12)</f>
        <v>0</v>
      </c>
      <c r="AR12" s="25" t="e">
        <f>(AQ11-AQ12)/AQ11</f>
        <v>#DIV/0!</v>
      </c>
      <c r="AS12" s="24">
        <f>MIN(Z12:AP12)</f>
        <v>0</v>
      </c>
      <c r="AT12" s="25" t="e">
        <f>(AS11-AS12)/AS11</f>
        <v>#DIV/0!</v>
      </c>
      <c r="AU12" s="25"/>
      <c r="AV12" s="28"/>
      <c r="AW12" s="28"/>
      <c r="AX12" s="28"/>
    </row>
    <row r="13" s="3" customFormat="1" customHeight="1" spans="1:50">
      <c r="A13" s="9"/>
      <c r="B13" s="9"/>
      <c r="C13" s="9"/>
      <c r="D13" s="9" t="s">
        <v>260</v>
      </c>
      <c r="E13" s="15"/>
      <c r="F13" s="9" t="s">
        <v>107</v>
      </c>
      <c r="G13" s="9" t="s">
        <v>136</v>
      </c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24" t="s">
        <v>26</v>
      </c>
      <c r="AR13" s="25" t="s">
        <v>26</v>
      </c>
      <c r="AS13" s="24" t="s">
        <v>26</v>
      </c>
      <c r="AT13" s="25"/>
      <c r="AU13" s="25"/>
      <c r="AV13" s="28"/>
      <c r="AW13" s="28"/>
      <c r="AX13" s="28"/>
    </row>
    <row r="14" s="3" customFormat="1" customHeight="1" spans="1:50">
      <c r="A14" s="9"/>
      <c r="B14" s="9"/>
      <c r="C14" s="9"/>
      <c r="D14" s="9" t="s">
        <v>260</v>
      </c>
      <c r="E14" s="15"/>
      <c r="F14" s="9" t="s">
        <v>133</v>
      </c>
      <c r="G14" s="9" t="s">
        <v>136</v>
      </c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24" t="s">
        <v>26</v>
      </c>
      <c r="AR14" s="25" t="s">
        <v>26</v>
      </c>
      <c r="AS14" s="24" t="s">
        <v>26</v>
      </c>
      <c r="AT14" s="25"/>
      <c r="AU14" s="25"/>
      <c r="AV14" s="28"/>
      <c r="AW14" s="28"/>
      <c r="AX14" s="28"/>
    </row>
    <row r="15" s="3" customFormat="1" customHeight="1" spans="1:50">
      <c r="A15" s="10"/>
      <c r="B15" s="9"/>
      <c r="C15" s="9"/>
      <c r="D15" s="9" t="s">
        <v>260</v>
      </c>
      <c r="E15" s="15" t="s">
        <v>241</v>
      </c>
      <c r="F15" s="9" t="s">
        <v>78</v>
      </c>
      <c r="G15" s="9" t="s">
        <v>131</v>
      </c>
      <c r="H15" s="1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24">
        <f>MIN(I15:Y15)</f>
        <v>0</v>
      </c>
      <c r="AR15" s="25"/>
      <c r="AS15" s="24">
        <f>MIN(Z15:AP15)</f>
        <v>0</v>
      </c>
      <c r="AT15" s="25"/>
      <c r="AU15" s="25"/>
      <c r="AV15" s="28"/>
      <c r="AW15" s="28"/>
      <c r="AX15" s="28"/>
    </row>
    <row r="16" s="3" customFormat="1" customHeight="1" spans="1:50">
      <c r="A16" s="10"/>
      <c r="B16" s="9"/>
      <c r="C16" s="9"/>
      <c r="D16" s="9" t="s">
        <v>260</v>
      </c>
      <c r="E16" s="15"/>
      <c r="F16" s="9" t="s">
        <v>141</v>
      </c>
      <c r="G16" s="9" t="s">
        <v>131</v>
      </c>
      <c r="H16" s="1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24">
        <f>MIN(I16:Y16)</f>
        <v>0</v>
      </c>
      <c r="AR16" s="25" t="e">
        <f>(AQ15-AQ16)/AQ15</f>
        <v>#DIV/0!</v>
      </c>
      <c r="AS16" s="24">
        <f>MIN(Z16:AP16)</f>
        <v>0</v>
      </c>
      <c r="AT16" s="25" t="e">
        <f>(AS15-AS16)/AS15</f>
        <v>#DIV/0!</v>
      </c>
      <c r="AU16" s="25"/>
      <c r="AV16" s="28"/>
      <c r="AW16" s="28"/>
      <c r="AX16" s="28"/>
    </row>
    <row r="17" s="3" customFormat="1" customHeight="1" spans="1:50">
      <c r="A17" s="10"/>
      <c r="B17" s="9"/>
      <c r="C17" s="9"/>
      <c r="D17" s="9" t="s">
        <v>260</v>
      </c>
      <c r="E17" s="15"/>
      <c r="F17" s="9" t="s">
        <v>142</v>
      </c>
      <c r="G17" s="9" t="s">
        <v>131</v>
      </c>
      <c r="H17" s="1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24">
        <f>MIN(I17:Y17)</f>
        <v>0</v>
      </c>
      <c r="AR17" s="25" t="e">
        <f>(AQ15-AQ17)/AQ15</f>
        <v>#DIV/0!</v>
      </c>
      <c r="AS17" s="24">
        <f>MIN(Z17:AP17)</f>
        <v>0</v>
      </c>
      <c r="AT17" s="25" t="e">
        <f>(AS15-AS17)/AS15</f>
        <v>#DIV/0!</v>
      </c>
      <c r="AU17" s="25"/>
      <c r="AV17" s="28"/>
      <c r="AW17" s="28"/>
      <c r="AX17" s="28"/>
    </row>
    <row r="18" s="3" customFormat="1" customHeight="1" spans="1:50">
      <c r="A18" s="10"/>
      <c r="B18" s="9"/>
      <c r="C18" s="9"/>
      <c r="D18" s="9" t="s">
        <v>260</v>
      </c>
      <c r="E18" s="15"/>
      <c r="F18" s="9" t="s">
        <v>143</v>
      </c>
      <c r="G18" s="9" t="s">
        <v>131</v>
      </c>
      <c r="H18" s="1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26">
        <f>MIN(I18:Y18)</f>
        <v>0</v>
      </c>
      <c r="AR18" s="27" t="e">
        <f>(AQ15-AQ18)/AQ15</f>
        <v>#DIV/0!</v>
      </c>
      <c r="AS18" s="26">
        <f>MIN(Z18:AP18)</f>
        <v>0</v>
      </c>
      <c r="AT18" s="27" t="e">
        <f>(AS15-AS18)/AS15</f>
        <v>#DIV/0!</v>
      </c>
      <c r="AU18" s="25"/>
      <c r="AV18" s="28"/>
      <c r="AW18" s="28"/>
      <c r="AX18" s="28"/>
    </row>
    <row r="19" s="3" customFormat="1" customHeight="1" spans="1:50">
      <c r="A19" s="10"/>
      <c r="B19" s="9"/>
      <c r="C19" s="9"/>
      <c r="D19" s="9" t="s">
        <v>260</v>
      </c>
      <c r="E19" s="15"/>
      <c r="F19" s="9" t="s">
        <v>78</v>
      </c>
      <c r="G19" s="9" t="s">
        <v>134</v>
      </c>
      <c r="H19" s="1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24">
        <f t="shared" ref="AQ19:AQ22" si="2">MIN(I19:Y19)</f>
        <v>0</v>
      </c>
      <c r="AR19" s="25"/>
      <c r="AS19" s="24">
        <f t="shared" ref="AS19:AS22" si="3">MIN(Z19:AP19)</f>
        <v>0</v>
      </c>
      <c r="AT19" s="25"/>
      <c r="AU19" s="25"/>
      <c r="AV19" s="28"/>
      <c r="AW19" s="28"/>
      <c r="AX19" s="28"/>
    </row>
    <row r="20" s="3" customFormat="1" customHeight="1" spans="1:50">
      <c r="A20" s="10"/>
      <c r="B20" s="9"/>
      <c r="C20" s="9"/>
      <c r="D20" s="9" t="s">
        <v>260</v>
      </c>
      <c r="E20" s="15"/>
      <c r="F20" s="9" t="s">
        <v>141</v>
      </c>
      <c r="G20" s="9" t="s">
        <v>134</v>
      </c>
      <c r="H20" s="1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24">
        <f t="shared" si="2"/>
        <v>0</v>
      </c>
      <c r="AR20" s="25" t="e">
        <f>(AQ19-AQ20)/AQ19</f>
        <v>#DIV/0!</v>
      </c>
      <c r="AS20" s="24">
        <f t="shared" si="3"/>
        <v>0</v>
      </c>
      <c r="AT20" s="25" t="e">
        <f>(AS19-AS20)/AS19</f>
        <v>#DIV/0!</v>
      </c>
      <c r="AU20" s="25"/>
      <c r="AV20" s="28"/>
      <c r="AW20" s="28"/>
      <c r="AX20" s="28"/>
    </row>
    <row r="21" s="3" customFormat="1" customHeight="1" spans="1:50">
      <c r="A21" s="10"/>
      <c r="B21" s="9"/>
      <c r="C21" s="9"/>
      <c r="D21" s="9" t="s">
        <v>260</v>
      </c>
      <c r="E21" s="15"/>
      <c r="F21" s="9" t="s">
        <v>142</v>
      </c>
      <c r="G21" s="9" t="s">
        <v>134</v>
      </c>
      <c r="H21" s="1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24">
        <f t="shared" si="2"/>
        <v>0</v>
      </c>
      <c r="AR21" s="25" t="e">
        <f>(AQ19-AQ21)/AQ19</f>
        <v>#DIV/0!</v>
      </c>
      <c r="AS21" s="24">
        <f t="shared" si="3"/>
        <v>0</v>
      </c>
      <c r="AT21" s="25" t="e">
        <f>(AS19-AS21)/AS19</f>
        <v>#DIV/0!</v>
      </c>
      <c r="AU21" s="25"/>
      <c r="AV21" s="28"/>
      <c r="AW21" s="28"/>
      <c r="AX21" s="28"/>
    </row>
    <row r="22" s="3" customFormat="1" customHeight="1" spans="1:50">
      <c r="A22" s="10"/>
      <c r="B22" s="9"/>
      <c r="C22" s="9"/>
      <c r="D22" s="9" t="s">
        <v>260</v>
      </c>
      <c r="E22" s="15"/>
      <c r="F22" s="9" t="s">
        <v>143</v>
      </c>
      <c r="G22" s="9" t="s">
        <v>134</v>
      </c>
      <c r="H22" s="1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26">
        <f t="shared" si="2"/>
        <v>0</v>
      </c>
      <c r="AR22" s="27" t="e">
        <f>(AQ19-AQ22)/AQ19</f>
        <v>#DIV/0!</v>
      </c>
      <c r="AS22" s="26">
        <f t="shared" si="3"/>
        <v>0</v>
      </c>
      <c r="AT22" s="27" t="e">
        <f>(AS19-AS22)/AS19</f>
        <v>#DIV/0!</v>
      </c>
      <c r="AU22" s="25"/>
      <c r="AV22" s="28"/>
      <c r="AW22" s="28"/>
      <c r="AX22" s="28"/>
    </row>
    <row r="23" s="3" customFormat="1" customHeight="1" spans="1:50">
      <c r="A23" s="10"/>
      <c r="B23" s="9"/>
      <c r="C23" s="9"/>
      <c r="D23" s="9" t="s">
        <v>260</v>
      </c>
      <c r="E23" s="15"/>
      <c r="F23" s="9" t="s">
        <v>78</v>
      </c>
      <c r="G23" s="9" t="s">
        <v>136</v>
      </c>
      <c r="H23" s="1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24">
        <f t="shared" ref="AQ23:AQ26" si="4">MIN(I23:Y23)</f>
        <v>0</v>
      </c>
      <c r="AR23" s="25"/>
      <c r="AS23" s="24">
        <f t="shared" ref="AS23:AS26" si="5">MIN(Z23:AP23)</f>
        <v>0</v>
      </c>
      <c r="AT23" s="25"/>
      <c r="AU23" s="25"/>
      <c r="AV23" s="28"/>
      <c r="AW23" s="28"/>
      <c r="AX23" s="28"/>
    </row>
    <row r="24" s="3" customFormat="1" customHeight="1" spans="1:50">
      <c r="A24" s="10"/>
      <c r="B24" s="9"/>
      <c r="C24" s="9"/>
      <c r="D24" s="9" t="s">
        <v>260</v>
      </c>
      <c r="E24" s="15"/>
      <c r="F24" s="9" t="s">
        <v>141</v>
      </c>
      <c r="G24" s="9" t="s">
        <v>136</v>
      </c>
      <c r="H24" s="1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24">
        <f t="shared" si="4"/>
        <v>0</v>
      </c>
      <c r="AR24" s="25" t="e">
        <f>(AQ23-AQ24)/AQ23</f>
        <v>#DIV/0!</v>
      </c>
      <c r="AS24" s="24">
        <f t="shared" si="5"/>
        <v>0</v>
      </c>
      <c r="AT24" s="25" t="e">
        <f>(AS23-AS24)/AS23</f>
        <v>#DIV/0!</v>
      </c>
      <c r="AU24" s="25"/>
      <c r="AV24" s="28"/>
      <c r="AW24" s="28"/>
      <c r="AX24" s="28"/>
    </row>
    <row r="25" s="3" customFormat="1" customHeight="1" spans="1:50">
      <c r="A25" s="10"/>
      <c r="B25" s="9"/>
      <c r="C25" s="9"/>
      <c r="D25" s="9" t="s">
        <v>260</v>
      </c>
      <c r="E25" s="15"/>
      <c r="F25" s="9" t="s">
        <v>142</v>
      </c>
      <c r="G25" s="9" t="s">
        <v>136</v>
      </c>
      <c r="H25" s="1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24">
        <f t="shared" si="4"/>
        <v>0</v>
      </c>
      <c r="AR25" s="25" t="e">
        <f>(AQ23-AQ25)/AQ23</f>
        <v>#DIV/0!</v>
      </c>
      <c r="AS25" s="24">
        <f t="shared" si="5"/>
        <v>0</v>
      </c>
      <c r="AT25" s="25" t="e">
        <f>(AS23-AS25)/AS23</f>
        <v>#DIV/0!</v>
      </c>
      <c r="AU25" s="25"/>
      <c r="AV25" s="28"/>
      <c r="AW25" s="28"/>
      <c r="AX25" s="28"/>
    </row>
    <row r="26" s="3" customFormat="1" customHeight="1" spans="1:50">
      <c r="A26" s="10"/>
      <c r="B26" s="9"/>
      <c r="C26" s="9"/>
      <c r="D26" s="9" t="s">
        <v>260</v>
      </c>
      <c r="E26" s="15"/>
      <c r="F26" s="9" t="s">
        <v>143</v>
      </c>
      <c r="G26" s="9" t="s">
        <v>136</v>
      </c>
      <c r="H26" s="1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26">
        <f t="shared" si="4"/>
        <v>0</v>
      </c>
      <c r="AR26" s="27" t="e">
        <f>(AQ23-AQ26)/AQ23</f>
        <v>#DIV/0!</v>
      </c>
      <c r="AS26" s="26">
        <f t="shared" si="5"/>
        <v>0</v>
      </c>
      <c r="AT26" s="27" t="e">
        <f>(AS23-AS26)/AS23</f>
        <v>#DIV/0!</v>
      </c>
      <c r="AU26" s="25"/>
      <c r="AV26" s="28"/>
      <c r="AW26" s="28"/>
      <c r="AX26" s="28"/>
    </row>
    <row r="27" s="3" customFormat="1" ht="107" customHeight="1" spans="1:50">
      <c r="A27" s="9"/>
      <c r="B27" s="9"/>
      <c r="C27" s="9"/>
      <c r="D27" s="9" t="s">
        <v>260</v>
      </c>
      <c r="E27" s="15" t="s">
        <v>242</v>
      </c>
      <c r="F27" s="9" t="s">
        <v>78</v>
      </c>
      <c r="G27" s="9" t="s">
        <v>131</v>
      </c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24">
        <f t="shared" ref="AQ27:AQ34" si="6">MIN(I27:Y27)</f>
        <v>0</v>
      </c>
      <c r="AR27" s="25"/>
      <c r="AS27" s="24">
        <f t="shared" ref="AS27:AS34" si="7">MIN(Z27:AP27)</f>
        <v>0</v>
      </c>
      <c r="AT27" s="25"/>
      <c r="AU27" s="25"/>
      <c r="AV27" s="28"/>
      <c r="AW27" s="28"/>
      <c r="AX27" s="28"/>
    </row>
    <row r="28" s="3" customFormat="1" ht="107" customHeight="1" spans="1:50">
      <c r="A28" s="9"/>
      <c r="B28" s="9"/>
      <c r="C28" s="9"/>
      <c r="D28" s="9" t="s">
        <v>260</v>
      </c>
      <c r="E28" s="15"/>
      <c r="F28" s="9" t="s">
        <v>92</v>
      </c>
      <c r="G28" s="9" t="s">
        <v>131</v>
      </c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24">
        <f t="shared" si="6"/>
        <v>0</v>
      </c>
      <c r="AR28" s="25" t="e">
        <f t="shared" ref="AR28:AR32" si="8">(AQ27-AQ28)/AQ27</f>
        <v>#DIV/0!</v>
      </c>
      <c r="AS28" s="24">
        <f t="shared" si="7"/>
        <v>0</v>
      </c>
      <c r="AT28" s="25" t="e">
        <f t="shared" ref="AT28:AT32" si="9">(AS27-AS28)/AS27</f>
        <v>#DIV/0!</v>
      </c>
      <c r="AU28" s="25"/>
      <c r="AV28" s="28"/>
      <c r="AW28" s="28"/>
      <c r="AX28" s="28"/>
    </row>
    <row r="29" s="3" customFormat="1" ht="121" customHeight="1" spans="1:50">
      <c r="A29" s="9"/>
      <c r="B29" s="9"/>
      <c r="C29" s="9"/>
      <c r="D29" s="9" t="s">
        <v>260</v>
      </c>
      <c r="E29" s="15"/>
      <c r="F29" s="9" t="s">
        <v>78</v>
      </c>
      <c r="G29" s="9" t="s">
        <v>134</v>
      </c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24">
        <f t="shared" si="6"/>
        <v>0</v>
      </c>
      <c r="AR29" s="25"/>
      <c r="AS29" s="24">
        <f t="shared" si="7"/>
        <v>0</v>
      </c>
      <c r="AT29" s="25"/>
      <c r="AU29" s="25"/>
      <c r="AV29" s="28"/>
      <c r="AW29" s="28"/>
      <c r="AX29" s="28"/>
    </row>
    <row r="30" s="3" customFormat="1" ht="121" customHeight="1" spans="1:50">
      <c r="A30" s="9"/>
      <c r="B30" s="9"/>
      <c r="C30" s="9"/>
      <c r="D30" s="9" t="s">
        <v>260</v>
      </c>
      <c r="E30" s="15"/>
      <c r="F30" s="9" t="s">
        <v>92</v>
      </c>
      <c r="G30" s="9" t="s">
        <v>134</v>
      </c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24">
        <f t="shared" si="6"/>
        <v>0</v>
      </c>
      <c r="AR30" s="25" t="e">
        <f t="shared" si="8"/>
        <v>#DIV/0!</v>
      </c>
      <c r="AS30" s="24">
        <f t="shared" si="7"/>
        <v>0</v>
      </c>
      <c r="AT30" s="25" t="e">
        <f t="shared" si="9"/>
        <v>#DIV/0!</v>
      </c>
      <c r="AU30" s="25"/>
      <c r="AV30" s="28"/>
      <c r="AW30" s="28"/>
      <c r="AX30" s="28"/>
    </row>
    <row r="31" s="3" customFormat="1" ht="121" customHeight="1" spans="1:50">
      <c r="A31" s="9"/>
      <c r="B31" s="9"/>
      <c r="C31" s="9"/>
      <c r="D31" s="9" t="s">
        <v>260</v>
      </c>
      <c r="E31" s="15"/>
      <c r="F31" s="9" t="s">
        <v>78</v>
      </c>
      <c r="G31" s="9" t="s">
        <v>136</v>
      </c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4">
        <f t="shared" si="6"/>
        <v>0</v>
      </c>
      <c r="AR31" s="25"/>
      <c r="AS31" s="24">
        <f t="shared" si="7"/>
        <v>0</v>
      </c>
      <c r="AT31" s="25"/>
      <c r="AU31" s="25"/>
      <c r="AV31" s="28"/>
      <c r="AW31" s="28"/>
      <c r="AX31" s="28"/>
    </row>
    <row r="32" s="3" customFormat="1" ht="121" customHeight="1" spans="1:50">
      <c r="A32" s="9"/>
      <c r="B32" s="9"/>
      <c r="C32" s="9"/>
      <c r="D32" s="9" t="s">
        <v>260</v>
      </c>
      <c r="E32" s="15"/>
      <c r="F32" s="9" t="s">
        <v>92</v>
      </c>
      <c r="G32" s="9" t="s">
        <v>136</v>
      </c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24">
        <f t="shared" si="6"/>
        <v>0</v>
      </c>
      <c r="AR32" s="25" t="e">
        <f t="shared" si="8"/>
        <v>#DIV/0!</v>
      </c>
      <c r="AS32" s="24">
        <f t="shared" si="7"/>
        <v>0</v>
      </c>
      <c r="AT32" s="25" t="e">
        <f t="shared" si="9"/>
        <v>#DIV/0!</v>
      </c>
      <c r="AU32" s="25"/>
      <c r="AV32" s="28"/>
      <c r="AW32" s="28"/>
      <c r="AX32" s="28"/>
    </row>
    <row r="33" customHeight="1" spans="1:50">
      <c r="A33" s="11"/>
      <c r="B33" s="11"/>
      <c r="C33" s="11"/>
      <c r="D33" s="9" t="s">
        <v>260</v>
      </c>
      <c r="E33" s="17" t="s">
        <v>243</v>
      </c>
      <c r="F33" s="18" t="s">
        <v>78</v>
      </c>
      <c r="G33" s="9" t="s">
        <v>131</v>
      </c>
      <c r="H33" s="1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24">
        <f t="shared" si="6"/>
        <v>0</v>
      </c>
      <c r="AR33" s="25"/>
      <c r="AS33" s="24">
        <f t="shared" si="7"/>
        <v>0</v>
      </c>
      <c r="AT33" s="25"/>
      <c r="AU33" s="25"/>
      <c r="AV33" s="18"/>
      <c r="AW33" s="18"/>
      <c r="AX33" s="18"/>
    </row>
    <row r="34" customHeight="1" spans="1:50">
      <c r="A34" s="11"/>
      <c r="B34" s="11"/>
      <c r="C34" s="11"/>
      <c r="D34" s="9" t="s">
        <v>260</v>
      </c>
      <c r="E34" s="17"/>
      <c r="F34" s="18" t="s">
        <v>153</v>
      </c>
      <c r="G34" s="9" t="s">
        <v>131</v>
      </c>
      <c r="H34" s="1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4"/>
      <c r="AR34" s="25"/>
      <c r="AS34" s="24"/>
      <c r="AT34" s="25"/>
      <c r="AU34" s="25"/>
      <c r="AV34" s="18"/>
      <c r="AW34" s="18"/>
      <c r="AX34" s="18"/>
    </row>
    <row r="35" customHeight="1" spans="1:50">
      <c r="A35" s="11"/>
      <c r="B35" s="11"/>
      <c r="C35" s="11"/>
      <c r="D35" s="9" t="s">
        <v>260</v>
      </c>
      <c r="E35" s="17"/>
      <c r="F35" s="18" t="s">
        <v>154</v>
      </c>
      <c r="G35" s="9" t="s">
        <v>131</v>
      </c>
      <c r="H35" s="1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4"/>
      <c r="AR35" s="25"/>
      <c r="AS35" s="24"/>
      <c r="AT35" s="25"/>
      <c r="AU35" s="25"/>
      <c r="AV35" s="18"/>
      <c r="AW35" s="18"/>
      <c r="AX35" s="18"/>
    </row>
    <row r="36" customHeight="1" spans="1:50">
      <c r="A36" s="11"/>
      <c r="B36" s="11"/>
      <c r="C36" s="11"/>
      <c r="D36" s="9" t="s">
        <v>260</v>
      </c>
      <c r="E36" s="17"/>
      <c r="F36" s="18" t="s">
        <v>95</v>
      </c>
      <c r="G36" s="9" t="s">
        <v>131</v>
      </c>
      <c r="H36" s="1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24">
        <f t="shared" ref="AQ36:AQ41" si="10">MIN(I36:Y36)</f>
        <v>0</v>
      </c>
      <c r="AR36" s="25" t="e">
        <f>(AQ33-AQ36)/AQ33</f>
        <v>#DIV/0!</v>
      </c>
      <c r="AS36" s="24">
        <f t="shared" ref="AS36:AS41" si="11">MIN(Z36:AP36)</f>
        <v>0</v>
      </c>
      <c r="AT36" s="25" t="e">
        <f>(AS33-AS36)/AS33</f>
        <v>#DIV/0!</v>
      </c>
      <c r="AU36" s="25"/>
      <c r="AV36" s="18"/>
      <c r="AW36" s="18"/>
      <c r="AX36" s="18"/>
    </row>
    <row r="37" customHeight="1" spans="1:50">
      <c r="A37" s="11"/>
      <c r="B37" s="11"/>
      <c r="C37" s="11"/>
      <c r="D37" s="9" t="s">
        <v>260</v>
      </c>
      <c r="E37" s="17"/>
      <c r="F37" s="18" t="s">
        <v>78</v>
      </c>
      <c r="G37" s="18" t="s">
        <v>134</v>
      </c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4">
        <f t="shared" si="10"/>
        <v>0</v>
      </c>
      <c r="AR37" s="25"/>
      <c r="AS37" s="24">
        <f t="shared" si="11"/>
        <v>0</v>
      </c>
      <c r="AT37" s="25"/>
      <c r="AU37" s="25"/>
      <c r="AV37" s="18"/>
      <c r="AW37" s="18"/>
      <c r="AX37" s="18"/>
    </row>
    <row r="38" customHeight="1" spans="1:50">
      <c r="A38" s="11"/>
      <c r="B38" s="11"/>
      <c r="C38" s="11"/>
      <c r="D38" s="9" t="s">
        <v>260</v>
      </c>
      <c r="E38" s="17"/>
      <c r="F38" s="18" t="s">
        <v>153</v>
      </c>
      <c r="G38" s="18" t="s">
        <v>134</v>
      </c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4"/>
      <c r="AR38" s="25"/>
      <c r="AS38" s="24"/>
      <c r="AT38" s="25"/>
      <c r="AU38" s="25"/>
      <c r="AV38" s="18"/>
      <c r="AW38" s="18"/>
      <c r="AX38" s="18"/>
    </row>
    <row r="39" customHeight="1" spans="1:50">
      <c r="A39" s="11"/>
      <c r="B39" s="11"/>
      <c r="C39" s="11"/>
      <c r="D39" s="9" t="s">
        <v>260</v>
      </c>
      <c r="E39" s="17"/>
      <c r="F39" s="18" t="s">
        <v>154</v>
      </c>
      <c r="G39" s="18" t="s">
        <v>134</v>
      </c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24"/>
      <c r="AR39" s="25"/>
      <c r="AS39" s="24"/>
      <c r="AT39" s="25"/>
      <c r="AU39" s="25"/>
      <c r="AV39" s="18"/>
      <c r="AW39" s="18"/>
      <c r="AX39" s="18"/>
    </row>
    <row r="40" customHeight="1" spans="1:50">
      <c r="A40" s="11"/>
      <c r="B40" s="11"/>
      <c r="C40" s="11"/>
      <c r="D40" s="9" t="s">
        <v>260</v>
      </c>
      <c r="E40" s="17"/>
      <c r="F40" s="18" t="s">
        <v>95</v>
      </c>
      <c r="G40" s="18" t="s">
        <v>134</v>
      </c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24">
        <f t="shared" si="10"/>
        <v>0</v>
      </c>
      <c r="AR40" s="25" t="e">
        <f>(AQ37-AQ40)/AQ37</f>
        <v>#DIV/0!</v>
      </c>
      <c r="AS40" s="24">
        <f t="shared" si="11"/>
        <v>0</v>
      </c>
      <c r="AT40" s="25" t="e">
        <f>(AS37-AS40)/AS37</f>
        <v>#DIV/0!</v>
      </c>
      <c r="AU40" s="25"/>
      <c r="AV40" s="18"/>
      <c r="AW40" s="18"/>
      <c r="AX40" s="18"/>
    </row>
    <row r="41" customHeight="1" spans="1:50">
      <c r="A41" s="11"/>
      <c r="B41" s="11"/>
      <c r="C41" s="11"/>
      <c r="D41" s="9" t="s">
        <v>260</v>
      </c>
      <c r="E41" s="17"/>
      <c r="F41" s="18" t="s">
        <v>78</v>
      </c>
      <c r="G41" s="18" t="s">
        <v>136</v>
      </c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24">
        <f t="shared" si="10"/>
        <v>0</v>
      </c>
      <c r="AR41" s="25"/>
      <c r="AS41" s="24">
        <f t="shared" si="11"/>
        <v>0</v>
      </c>
      <c r="AT41" s="25"/>
      <c r="AU41" s="25"/>
      <c r="AV41" s="18"/>
      <c r="AW41" s="18"/>
      <c r="AX41" s="18"/>
    </row>
    <row r="42" customHeight="1" spans="1:50">
      <c r="A42" s="11"/>
      <c r="B42" s="11"/>
      <c r="C42" s="11"/>
      <c r="D42" s="9" t="s">
        <v>260</v>
      </c>
      <c r="E42" s="17"/>
      <c r="F42" s="18" t="s">
        <v>153</v>
      </c>
      <c r="G42" s="18" t="s">
        <v>136</v>
      </c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24"/>
      <c r="AR42" s="25"/>
      <c r="AS42" s="24"/>
      <c r="AT42" s="25"/>
      <c r="AU42" s="25"/>
      <c r="AV42" s="18"/>
      <c r="AW42" s="18"/>
      <c r="AX42" s="18"/>
    </row>
    <row r="43" customHeight="1" spans="1:50">
      <c r="A43" s="11"/>
      <c r="B43" s="11"/>
      <c r="C43" s="11"/>
      <c r="D43" s="9" t="s">
        <v>260</v>
      </c>
      <c r="E43" s="17"/>
      <c r="F43" s="18" t="s">
        <v>154</v>
      </c>
      <c r="G43" s="18" t="s">
        <v>136</v>
      </c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24"/>
      <c r="AR43" s="25"/>
      <c r="AS43" s="24"/>
      <c r="AT43" s="25"/>
      <c r="AU43" s="25"/>
      <c r="AV43" s="18"/>
      <c r="AW43" s="18"/>
      <c r="AX43" s="18"/>
    </row>
    <row r="44" customHeight="1" spans="1:50">
      <c r="A44" s="11"/>
      <c r="B44" s="11"/>
      <c r="C44" s="11"/>
      <c r="D44" s="9" t="s">
        <v>260</v>
      </c>
      <c r="E44" s="17"/>
      <c r="F44" s="18" t="s">
        <v>95</v>
      </c>
      <c r="G44" s="18" t="s">
        <v>136</v>
      </c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24">
        <f>MIN(I44:Y44)</f>
        <v>0</v>
      </c>
      <c r="AR44" s="25" t="e">
        <f>(AQ41-AQ44)/AQ41</f>
        <v>#DIV/0!</v>
      </c>
      <c r="AS44" s="24">
        <f>MIN(Z44:AP44)</f>
        <v>0</v>
      </c>
      <c r="AT44" s="25" t="e">
        <f>(AS41-AS44)/AS41</f>
        <v>#DIV/0!</v>
      </c>
      <c r="AU44" s="25"/>
      <c r="AV44" s="18"/>
      <c r="AW44" s="18"/>
      <c r="AX44" s="18"/>
    </row>
  </sheetData>
  <autoFilter ref="A2:XFD44">
    <extLst/>
  </autoFilter>
  <mergeCells count="38">
    <mergeCell ref="A1:D1"/>
    <mergeCell ref="E1:H1"/>
    <mergeCell ref="I1:Y1"/>
    <mergeCell ref="Z1:AP1"/>
    <mergeCell ref="AQ1:AT1"/>
    <mergeCell ref="AV1:AX1"/>
    <mergeCell ref="E3:E14"/>
    <mergeCell ref="E15:E26"/>
    <mergeCell ref="E27:E32"/>
    <mergeCell ref="E33:E44"/>
    <mergeCell ref="AV3:AV6"/>
    <mergeCell ref="AV7:AV10"/>
    <mergeCell ref="AV11:AV14"/>
    <mergeCell ref="AV15:AV18"/>
    <mergeCell ref="AV19:AV22"/>
    <mergeCell ref="AV23:AV26"/>
    <mergeCell ref="AV27:AV28"/>
    <mergeCell ref="AV29:AV30"/>
    <mergeCell ref="AV31:AV32"/>
    <mergeCell ref="AV33:AV36"/>
    <mergeCell ref="AV37:AV40"/>
    <mergeCell ref="AV41:AV44"/>
    <mergeCell ref="AW3:AW6"/>
    <mergeCell ref="AW7:AW10"/>
    <mergeCell ref="AW11:AW14"/>
    <mergeCell ref="AW15:AW18"/>
    <mergeCell ref="AW19:AW22"/>
    <mergeCell ref="AW23:AW26"/>
    <mergeCell ref="AW27:AW28"/>
    <mergeCell ref="AW29:AW30"/>
    <mergeCell ref="AW31:AW32"/>
    <mergeCell ref="AW33:AW36"/>
    <mergeCell ref="AW37:AW40"/>
    <mergeCell ref="AW41:AW44"/>
    <mergeCell ref="AX3:AX14"/>
    <mergeCell ref="AX15:AX26"/>
    <mergeCell ref="AX27:AX32"/>
    <mergeCell ref="AX33:AX44"/>
  </mergeCells>
  <conditionalFormatting sqref="AT6">
    <cfRule type="cellIs" dxfId="8" priority="6" operator="greaterThan">
      <formula>0.3</formula>
    </cfRule>
  </conditionalFormatting>
  <conditionalFormatting sqref="AT7">
    <cfRule type="cellIs" dxfId="8" priority="39" operator="greaterThan">
      <formula>0.3</formula>
    </cfRule>
  </conditionalFormatting>
  <conditionalFormatting sqref="AT8">
    <cfRule type="cellIs" dxfId="8" priority="38" operator="greaterThan">
      <formula>0.3</formula>
    </cfRule>
  </conditionalFormatting>
  <conditionalFormatting sqref="AT10">
    <cfRule type="cellIs" dxfId="8" priority="5" operator="greaterThan">
      <formula>0.3</formula>
    </cfRule>
  </conditionalFormatting>
  <conditionalFormatting sqref="AT11">
    <cfRule type="cellIs" dxfId="8" priority="36" operator="greaterThan">
      <formula>0.3</formula>
    </cfRule>
  </conditionalFormatting>
  <conditionalFormatting sqref="AT12">
    <cfRule type="cellIs" dxfId="8" priority="37" operator="greaterThan">
      <formula>0.3</formula>
    </cfRule>
  </conditionalFormatting>
  <conditionalFormatting sqref="AT23">
    <cfRule type="cellIs" dxfId="8" priority="26" operator="greaterThan">
      <formula>0.3</formula>
    </cfRule>
  </conditionalFormatting>
  <conditionalFormatting sqref="AT27">
    <cfRule type="cellIs" dxfId="8" priority="25" operator="greaterThan">
      <formula>0.3</formula>
    </cfRule>
  </conditionalFormatting>
  <conditionalFormatting sqref="AT28">
    <cfRule type="cellIs" dxfId="8" priority="23" operator="greaterThan">
      <formula>0.3</formula>
    </cfRule>
  </conditionalFormatting>
  <conditionalFormatting sqref="AT29">
    <cfRule type="cellIs" dxfId="8" priority="24" operator="greaterThan">
      <formula>0.3</formula>
    </cfRule>
  </conditionalFormatting>
  <conditionalFormatting sqref="AT30">
    <cfRule type="cellIs" dxfId="8" priority="22" operator="greaterThan">
      <formula>0.3</formula>
    </cfRule>
  </conditionalFormatting>
  <conditionalFormatting sqref="AT31">
    <cfRule type="cellIs" dxfId="8" priority="20" operator="greaterThan">
      <formula>0.3</formula>
    </cfRule>
  </conditionalFormatting>
  <conditionalFormatting sqref="AT32">
    <cfRule type="cellIs" dxfId="8" priority="21" operator="greaterThan">
      <formula>0.3</formula>
    </cfRule>
  </conditionalFormatting>
  <conditionalFormatting sqref="AT33">
    <cfRule type="cellIs" dxfId="8" priority="16" operator="greaterThan">
      <formula>0.3</formula>
    </cfRule>
  </conditionalFormatting>
  <conditionalFormatting sqref="AT34">
    <cfRule type="cellIs" dxfId="8" priority="45" operator="greaterThan">
      <formula>0.3</formula>
    </cfRule>
  </conditionalFormatting>
  <conditionalFormatting sqref="AT35">
    <cfRule type="cellIs" dxfId="8" priority="44" operator="greaterThan">
      <formula>0.3</formula>
    </cfRule>
  </conditionalFormatting>
  <conditionalFormatting sqref="AT37">
    <cfRule type="cellIs" dxfId="8" priority="15" operator="greaterThan">
      <formula>0.3</formula>
    </cfRule>
  </conditionalFormatting>
  <conditionalFormatting sqref="AT38">
    <cfRule type="cellIs" dxfId="8" priority="43" operator="greaterThan">
      <formula>0.3</formula>
    </cfRule>
  </conditionalFormatting>
  <conditionalFormatting sqref="AT39">
    <cfRule type="cellIs" dxfId="8" priority="42" operator="greaterThan">
      <formula>0.3</formula>
    </cfRule>
  </conditionalFormatting>
  <conditionalFormatting sqref="AT41">
    <cfRule type="cellIs" dxfId="8" priority="14" operator="greaterThan">
      <formula>0.3</formula>
    </cfRule>
  </conditionalFormatting>
  <conditionalFormatting sqref="AT42">
    <cfRule type="cellIs" dxfId="8" priority="41" operator="greaterThan">
      <formula>0.3</formula>
    </cfRule>
  </conditionalFormatting>
  <conditionalFormatting sqref="AT43">
    <cfRule type="cellIs" dxfId="8" priority="40" operator="greaterThan">
      <formula>0.3</formula>
    </cfRule>
  </conditionalFormatting>
  <conditionalFormatting sqref="AU3:AU44">
    <cfRule type="cellIs" dxfId="8" priority="1" operator="greaterThan">
      <formula>0.3</formula>
    </cfRule>
  </conditionalFormatting>
  <conditionalFormatting sqref="AT3:AT5 AT9 AT13:AT14">
    <cfRule type="cellIs" dxfId="8" priority="52" operator="greaterThan">
      <formula>0.3</formula>
    </cfRule>
  </conditionalFormatting>
  <pageMargins left="0.7" right="0.7" top="0.75" bottom="0.75" header="0.3" footer="0.3"/>
  <pageSetup paperSize="9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4"/>
  <sheetViews>
    <sheetView zoomScale="60" zoomScaleNormal="60" workbookViewId="0">
      <pane xSplit="8" ySplit="2" topLeftCell="I3" activePane="bottomRight" state="frozen"/>
      <selection/>
      <selection pane="topRight"/>
      <selection pane="bottomLeft"/>
      <selection pane="bottomRight" activeCell="S14" sqref="S14"/>
    </sheetView>
  </sheetViews>
  <sheetFormatPr defaultColWidth="8.73333333333333" defaultRowHeight="50" customHeight="1"/>
  <cols>
    <col min="1" max="2" width="8.81333333333333" style="4" hidden="1" customWidth="1"/>
    <col min="3" max="3" width="21.1866666666667" style="4" hidden="1" customWidth="1"/>
    <col min="4" max="4" width="13.4088888888889" style="4" customWidth="1"/>
    <col min="5" max="5" width="26.36" style="5" customWidth="1"/>
    <col min="6" max="6" width="9.09333333333333" style="6" customWidth="1"/>
    <col min="7" max="7" width="8.81333333333333" style="6" customWidth="1"/>
    <col min="8" max="8" width="24.36" style="6" customWidth="1"/>
    <col min="9" max="9" width="12.64" style="4" customWidth="1"/>
    <col min="10" max="13" width="11.5466666666667" style="4" customWidth="1"/>
    <col min="14" max="15" width="17.2666666666667" style="4" customWidth="1"/>
    <col min="16" max="19" width="11.5466666666667" style="4" customWidth="1"/>
    <col min="20" max="20" width="9.54666666666667" style="4" customWidth="1"/>
    <col min="21" max="25" width="11.5466666666667" style="4" customWidth="1"/>
    <col min="26" max="26" width="16.9644444444444" style="4" customWidth="1"/>
    <col min="27" max="42" width="11.5466666666667" style="4" customWidth="1"/>
    <col min="43" max="43" width="21.8133333333333" style="4" customWidth="1"/>
    <col min="44" max="44" width="21.8133333333333" style="7" customWidth="1"/>
    <col min="45" max="45" width="22.0444444444444" style="4" customWidth="1"/>
    <col min="46" max="46" width="25" style="7" customWidth="1"/>
    <col min="47" max="47" width="12.12" style="6" customWidth="1"/>
    <col min="48" max="49" width="70.64" style="4" customWidth="1"/>
    <col min="50" max="50" width="160" style="4" customWidth="1"/>
    <col min="51" max="51" width="48.64" style="4" customWidth="1"/>
    <col min="52" max="16384" width="8.73333333333333" style="4"/>
  </cols>
  <sheetData>
    <row r="1" s="1" customFormat="1" ht="26" customHeight="1" spans="1:50">
      <c r="A1" s="8" t="s">
        <v>189</v>
      </c>
      <c r="B1" s="8"/>
      <c r="C1" s="8"/>
      <c r="D1" s="8"/>
      <c r="E1" s="12" t="s">
        <v>190</v>
      </c>
      <c r="F1" s="13"/>
      <c r="G1" s="13"/>
      <c r="H1" s="13"/>
      <c r="I1" s="19" t="s">
        <v>191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 t="s">
        <v>192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 t="s">
        <v>193</v>
      </c>
      <c r="AR1" s="22"/>
      <c r="AS1" s="21"/>
      <c r="AT1" s="22"/>
      <c r="AU1" s="21"/>
      <c r="AV1" s="23" t="s">
        <v>194</v>
      </c>
      <c r="AW1" s="23"/>
      <c r="AX1" s="23"/>
    </row>
    <row r="2" s="2" customFormat="1" ht="36" customHeight="1" spans="1:50">
      <c r="A2" s="8" t="s">
        <v>109</v>
      </c>
      <c r="B2" s="8" t="s">
        <v>110</v>
      </c>
      <c r="C2" s="8" t="s">
        <v>195</v>
      </c>
      <c r="D2" s="8" t="s">
        <v>196</v>
      </c>
      <c r="E2" s="12" t="s">
        <v>112</v>
      </c>
      <c r="F2" s="13" t="s">
        <v>114</v>
      </c>
      <c r="G2" s="13" t="s">
        <v>197</v>
      </c>
      <c r="H2" s="14" t="s">
        <v>113</v>
      </c>
      <c r="I2" s="19" t="s">
        <v>198</v>
      </c>
      <c r="J2" s="19" t="s">
        <v>199</v>
      </c>
      <c r="K2" s="19" t="s">
        <v>200</v>
      </c>
      <c r="L2" s="19" t="s">
        <v>201</v>
      </c>
      <c r="M2" s="19" t="s">
        <v>202</v>
      </c>
      <c r="N2" s="19" t="s">
        <v>203</v>
      </c>
      <c r="O2" s="19" t="s">
        <v>204</v>
      </c>
      <c r="P2" s="19" t="s">
        <v>205</v>
      </c>
      <c r="Q2" s="19" t="s">
        <v>206</v>
      </c>
      <c r="R2" s="19" t="s">
        <v>207</v>
      </c>
      <c r="S2" s="19" t="s">
        <v>208</v>
      </c>
      <c r="T2" s="19" t="s">
        <v>209</v>
      </c>
      <c r="U2" s="19" t="s">
        <v>210</v>
      </c>
      <c r="V2" s="19" t="s">
        <v>211</v>
      </c>
      <c r="W2" s="19" t="s">
        <v>212</v>
      </c>
      <c r="X2" s="19" t="s">
        <v>213</v>
      </c>
      <c r="Y2" s="19" t="s">
        <v>214</v>
      </c>
      <c r="Z2" s="20" t="s">
        <v>215</v>
      </c>
      <c r="AA2" s="20" t="s">
        <v>216</v>
      </c>
      <c r="AB2" s="20" t="s">
        <v>217</v>
      </c>
      <c r="AC2" s="20" t="s">
        <v>218</v>
      </c>
      <c r="AD2" s="20" t="s">
        <v>219</v>
      </c>
      <c r="AE2" s="20" t="s">
        <v>220</v>
      </c>
      <c r="AF2" s="20" t="s">
        <v>221</v>
      </c>
      <c r="AG2" s="20" t="s">
        <v>222</v>
      </c>
      <c r="AH2" s="20" t="s">
        <v>223</v>
      </c>
      <c r="AI2" s="20" t="s">
        <v>224</v>
      </c>
      <c r="AJ2" s="20" t="s">
        <v>225</v>
      </c>
      <c r="AK2" s="20" t="s">
        <v>226</v>
      </c>
      <c r="AL2" s="20" t="s">
        <v>227</v>
      </c>
      <c r="AM2" s="20" t="s">
        <v>228</v>
      </c>
      <c r="AN2" s="20" t="s">
        <v>229</v>
      </c>
      <c r="AO2" s="20" t="s">
        <v>230</v>
      </c>
      <c r="AP2" s="20" t="s">
        <v>231</v>
      </c>
      <c r="AQ2" s="23" t="s">
        <v>232</v>
      </c>
      <c r="AR2" s="23" t="s">
        <v>233</v>
      </c>
      <c r="AS2" s="21" t="s">
        <v>234</v>
      </c>
      <c r="AT2" s="21" t="s">
        <v>235</v>
      </c>
      <c r="AU2" s="21" t="s">
        <v>236</v>
      </c>
      <c r="AV2" s="23" t="s">
        <v>237</v>
      </c>
      <c r="AW2" s="23" t="s">
        <v>238</v>
      </c>
      <c r="AX2" s="23" t="s">
        <v>239</v>
      </c>
    </row>
    <row r="3" s="3" customFormat="1" customHeight="1" spans="1:50">
      <c r="A3" s="9"/>
      <c r="B3" s="9"/>
      <c r="C3" s="9"/>
      <c r="D3" s="9" t="s">
        <v>260</v>
      </c>
      <c r="E3" s="15" t="s">
        <v>240</v>
      </c>
      <c r="F3" s="9" t="s">
        <v>78</v>
      </c>
      <c r="G3" s="9" t="s">
        <v>131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24">
        <f t="shared" ref="AQ3:AQ8" si="0">MIN(I3:Y3)</f>
        <v>0</v>
      </c>
      <c r="AR3" s="25"/>
      <c r="AS3" s="24">
        <f t="shared" ref="AS3:AS8" si="1">MIN(Z3:AP3)</f>
        <v>0</v>
      </c>
      <c r="AT3" s="25"/>
      <c r="AU3" s="25"/>
      <c r="AV3" s="28"/>
      <c r="AW3" s="28"/>
      <c r="AX3" s="28"/>
    </row>
    <row r="4" s="3" customFormat="1" customHeight="1" spans="1:50">
      <c r="A4" s="9"/>
      <c r="B4" s="9"/>
      <c r="C4" s="9"/>
      <c r="D4" s="9" t="s">
        <v>260</v>
      </c>
      <c r="E4" s="15"/>
      <c r="F4" s="9" t="s">
        <v>92</v>
      </c>
      <c r="G4" s="9" t="s">
        <v>131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24">
        <f t="shared" si="0"/>
        <v>0</v>
      </c>
      <c r="AR4" s="25" t="e">
        <f>(AQ3-AQ4)/AQ3</f>
        <v>#DIV/0!</v>
      </c>
      <c r="AS4" s="24">
        <f t="shared" si="1"/>
        <v>0</v>
      </c>
      <c r="AT4" s="25" t="e">
        <f>(AS3-AS4)/AS3</f>
        <v>#DIV/0!</v>
      </c>
      <c r="AU4" s="25"/>
      <c r="AV4" s="28"/>
      <c r="AW4" s="28"/>
      <c r="AX4" s="28"/>
    </row>
    <row r="5" s="3" customFormat="1" customHeight="1" spans="1:50">
      <c r="A5" s="9"/>
      <c r="B5" s="9"/>
      <c r="C5" s="9"/>
      <c r="D5" s="9" t="s">
        <v>260</v>
      </c>
      <c r="E5" s="15"/>
      <c r="F5" s="9" t="s">
        <v>107</v>
      </c>
      <c r="G5" s="9" t="s">
        <v>131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24" t="s">
        <v>26</v>
      </c>
      <c r="AR5" s="25" t="s">
        <v>26</v>
      </c>
      <c r="AS5" s="24" t="s">
        <v>26</v>
      </c>
      <c r="AT5" s="25"/>
      <c r="AU5" s="25"/>
      <c r="AV5" s="28"/>
      <c r="AW5" s="28"/>
      <c r="AX5" s="28"/>
    </row>
    <row r="6" s="3" customFormat="1" customHeight="1" spans="1:50">
      <c r="A6" s="9"/>
      <c r="B6" s="9"/>
      <c r="C6" s="9"/>
      <c r="D6" s="9" t="s">
        <v>260</v>
      </c>
      <c r="E6" s="15"/>
      <c r="F6" s="9" t="s">
        <v>133</v>
      </c>
      <c r="G6" s="9" t="s">
        <v>131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26">
        <f t="shared" si="0"/>
        <v>0</v>
      </c>
      <c r="AR6" s="27" t="e">
        <f>(AQ3-AQ6)/AQ3</f>
        <v>#DIV/0!</v>
      </c>
      <c r="AS6" s="26">
        <f t="shared" si="1"/>
        <v>0</v>
      </c>
      <c r="AT6" s="27" t="e">
        <f>(AS3-AS6)/AS3</f>
        <v>#DIV/0!</v>
      </c>
      <c r="AU6" s="25"/>
      <c r="AV6" s="28"/>
      <c r="AW6" s="28"/>
      <c r="AX6" s="28"/>
    </row>
    <row r="7" s="3" customFormat="1" customHeight="1" spans="1:50">
      <c r="A7" s="9"/>
      <c r="B7" s="9"/>
      <c r="C7" s="9"/>
      <c r="D7" s="9" t="s">
        <v>260</v>
      </c>
      <c r="E7" s="15"/>
      <c r="F7" s="9" t="s">
        <v>78</v>
      </c>
      <c r="G7" s="9" t="s">
        <v>134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24">
        <f t="shared" si="0"/>
        <v>0</v>
      </c>
      <c r="AR7" s="25"/>
      <c r="AS7" s="24">
        <f t="shared" si="1"/>
        <v>0</v>
      </c>
      <c r="AT7" s="25"/>
      <c r="AU7" s="25"/>
      <c r="AV7" s="28"/>
      <c r="AW7" s="28"/>
      <c r="AX7" s="28"/>
    </row>
    <row r="8" s="3" customFormat="1" customHeight="1" spans="1:50">
      <c r="A8" s="9"/>
      <c r="B8" s="9"/>
      <c r="C8" s="9"/>
      <c r="D8" s="9" t="s">
        <v>260</v>
      </c>
      <c r="E8" s="15"/>
      <c r="F8" s="9" t="s">
        <v>92</v>
      </c>
      <c r="G8" s="9" t="s">
        <v>134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24">
        <f t="shared" si="0"/>
        <v>0</v>
      </c>
      <c r="AR8" s="25" t="e">
        <f>(AQ7-AQ8)/AQ7</f>
        <v>#DIV/0!</v>
      </c>
      <c r="AS8" s="24">
        <f t="shared" si="1"/>
        <v>0</v>
      </c>
      <c r="AT8" s="25" t="e">
        <f>(AS7-AS8)/AS7</f>
        <v>#DIV/0!</v>
      </c>
      <c r="AU8" s="25"/>
      <c r="AV8" s="28"/>
      <c r="AW8" s="28"/>
      <c r="AX8" s="28"/>
    </row>
    <row r="9" s="3" customFormat="1" customHeight="1" spans="1:50">
      <c r="A9" s="9"/>
      <c r="B9" s="9"/>
      <c r="C9" s="9"/>
      <c r="D9" s="9" t="s">
        <v>260</v>
      </c>
      <c r="E9" s="15"/>
      <c r="F9" s="9" t="s">
        <v>107</v>
      </c>
      <c r="G9" s="9" t="s">
        <v>134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24" t="s">
        <v>26</v>
      </c>
      <c r="AR9" s="25" t="s">
        <v>26</v>
      </c>
      <c r="AS9" s="24" t="s">
        <v>26</v>
      </c>
      <c r="AT9" s="25"/>
      <c r="AU9" s="25"/>
      <c r="AV9" s="28"/>
      <c r="AW9" s="28"/>
      <c r="AX9" s="28"/>
    </row>
    <row r="10" s="3" customFormat="1" customHeight="1" spans="1:50">
      <c r="A10" s="9"/>
      <c r="B10" s="9"/>
      <c r="C10" s="9"/>
      <c r="D10" s="9" t="s">
        <v>260</v>
      </c>
      <c r="E10" s="15"/>
      <c r="F10" s="9" t="s">
        <v>133</v>
      </c>
      <c r="G10" s="9" t="s">
        <v>134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26">
        <f t="shared" ref="AQ10:AQ12" si="2">MIN(I10:Y10)</f>
        <v>0</v>
      </c>
      <c r="AR10" s="27" t="e">
        <f>(AQ7-AQ10)/AQ7</f>
        <v>#DIV/0!</v>
      </c>
      <c r="AS10" s="26">
        <f t="shared" ref="AS10:AS12" si="3">MIN(Z10:AP10)</f>
        <v>0</v>
      </c>
      <c r="AT10" s="27" t="e">
        <f>(AS7-AS10)/AS7</f>
        <v>#DIV/0!</v>
      </c>
      <c r="AU10" s="25"/>
      <c r="AV10" s="28"/>
      <c r="AW10" s="28"/>
      <c r="AX10" s="28"/>
    </row>
    <row r="11" s="3" customFormat="1" customHeight="1" spans="1:50">
      <c r="A11" s="9"/>
      <c r="B11" s="9"/>
      <c r="C11" s="9"/>
      <c r="D11" s="9" t="s">
        <v>260</v>
      </c>
      <c r="E11" s="15"/>
      <c r="F11" s="9" t="s">
        <v>78</v>
      </c>
      <c r="G11" s="9" t="s">
        <v>136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24">
        <f t="shared" si="2"/>
        <v>0</v>
      </c>
      <c r="AR11" s="25"/>
      <c r="AS11" s="24">
        <f t="shared" si="3"/>
        <v>0</v>
      </c>
      <c r="AT11" s="25"/>
      <c r="AU11" s="25"/>
      <c r="AV11" s="28"/>
      <c r="AW11" s="28"/>
      <c r="AX11" s="28"/>
    </row>
    <row r="12" s="3" customFormat="1" customHeight="1" spans="1:50">
      <c r="A12" s="9"/>
      <c r="B12" s="9"/>
      <c r="C12" s="9"/>
      <c r="D12" s="9" t="s">
        <v>260</v>
      </c>
      <c r="E12" s="15"/>
      <c r="F12" s="9" t="s">
        <v>92</v>
      </c>
      <c r="G12" s="9" t="s">
        <v>136</v>
      </c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24">
        <f t="shared" si="2"/>
        <v>0</v>
      </c>
      <c r="AR12" s="25" t="e">
        <f>(AQ11-AQ12)/AQ11</f>
        <v>#DIV/0!</v>
      </c>
      <c r="AS12" s="24">
        <f t="shared" si="3"/>
        <v>0</v>
      </c>
      <c r="AT12" s="25" t="e">
        <f>(AS11-AS12)/AS11</f>
        <v>#DIV/0!</v>
      </c>
      <c r="AU12" s="25"/>
      <c r="AV12" s="28"/>
      <c r="AW12" s="28"/>
      <c r="AX12" s="28"/>
    </row>
    <row r="13" s="3" customFormat="1" customHeight="1" spans="1:50">
      <c r="A13" s="9"/>
      <c r="B13" s="9"/>
      <c r="C13" s="9"/>
      <c r="D13" s="9" t="s">
        <v>260</v>
      </c>
      <c r="E13" s="15"/>
      <c r="F13" s="9" t="s">
        <v>107</v>
      </c>
      <c r="G13" s="9" t="s">
        <v>136</v>
      </c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24" t="s">
        <v>26</v>
      </c>
      <c r="AR13" s="25" t="s">
        <v>26</v>
      </c>
      <c r="AS13" s="24" t="s">
        <v>26</v>
      </c>
      <c r="AT13" s="25"/>
      <c r="AU13" s="25"/>
      <c r="AV13" s="28"/>
      <c r="AW13" s="28"/>
      <c r="AX13" s="28"/>
    </row>
    <row r="14" s="3" customFormat="1" customHeight="1" spans="1:50">
      <c r="A14" s="9"/>
      <c r="B14" s="9"/>
      <c r="C14" s="9"/>
      <c r="D14" s="9" t="s">
        <v>260</v>
      </c>
      <c r="E14" s="15"/>
      <c r="F14" s="9" t="s">
        <v>133</v>
      </c>
      <c r="G14" s="9" t="s">
        <v>136</v>
      </c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24" t="s">
        <v>26</v>
      </c>
      <c r="AR14" s="25" t="s">
        <v>26</v>
      </c>
      <c r="AS14" s="24" t="s">
        <v>26</v>
      </c>
      <c r="AT14" s="25"/>
      <c r="AU14" s="25"/>
      <c r="AV14" s="28"/>
      <c r="AW14" s="28"/>
      <c r="AX14" s="28"/>
    </row>
    <row r="15" s="3" customFormat="1" customHeight="1" spans="1:50">
      <c r="A15" s="10"/>
      <c r="B15" s="9"/>
      <c r="C15" s="9"/>
      <c r="D15" s="9" t="s">
        <v>260</v>
      </c>
      <c r="E15" s="15" t="s">
        <v>241</v>
      </c>
      <c r="F15" s="9" t="s">
        <v>78</v>
      </c>
      <c r="G15" s="9" t="s">
        <v>131</v>
      </c>
      <c r="H15" s="1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24">
        <f t="shared" ref="AQ15:AQ33" si="4">MIN(I15:Y15)</f>
        <v>0</v>
      </c>
      <c r="AR15" s="25"/>
      <c r="AS15" s="24">
        <f t="shared" ref="AS15:AS33" si="5">MIN(Z15:AP15)</f>
        <v>0</v>
      </c>
      <c r="AT15" s="25"/>
      <c r="AU15" s="25"/>
      <c r="AV15" s="28"/>
      <c r="AW15" s="28"/>
      <c r="AX15" s="28"/>
    </row>
    <row r="16" s="3" customFormat="1" customHeight="1" spans="1:50">
      <c r="A16" s="10"/>
      <c r="B16" s="9"/>
      <c r="C16" s="9"/>
      <c r="D16" s="9" t="s">
        <v>260</v>
      </c>
      <c r="E16" s="15"/>
      <c r="F16" s="9" t="s">
        <v>141</v>
      </c>
      <c r="G16" s="9" t="s">
        <v>131</v>
      </c>
      <c r="H16" s="1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24">
        <f t="shared" si="4"/>
        <v>0</v>
      </c>
      <c r="AR16" s="25" t="e">
        <f>(AQ15-AQ16)/AQ15</f>
        <v>#DIV/0!</v>
      </c>
      <c r="AS16" s="24">
        <f t="shared" si="5"/>
        <v>0</v>
      </c>
      <c r="AT16" s="25" t="e">
        <f>(AS15-AS16)/AS15</f>
        <v>#DIV/0!</v>
      </c>
      <c r="AU16" s="25"/>
      <c r="AV16" s="28"/>
      <c r="AW16" s="28"/>
      <c r="AX16" s="28"/>
    </row>
    <row r="17" s="3" customFormat="1" customHeight="1" spans="1:50">
      <c r="A17" s="10"/>
      <c r="B17" s="9"/>
      <c r="C17" s="9"/>
      <c r="D17" s="9" t="s">
        <v>260</v>
      </c>
      <c r="E17" s="15"/>
      <c r="F17" s="9" t="s">
        <v>142</v>
      </c>
      <c r="G17" s="9" t="s">
        <v>131</v>
      </c>
      <c r="H17" s="1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24">
        <f t="shared" si="4"/>
        <v>0</v>
      </c>
      <c r="AR17" s="25" t="e">
        <f>(AQ15-AQ17)/AQ15</f>
        <v>#DIV/0!</v>
      </c>
      <c r="AS17" s="24">
        <f t="shared" si="5"/>
        <v>0</v>
      </c>
      <c r="AT17" s="25" t="e">
        <f>(AS15-AS17)/AS15</f>
        <v>#DIV/0!</v>
      </c>
      <c r="AU17" s="25"/>
      <c r="AV17" s="28"/>
      <c r="AW17" s="28"/>
      <c r="AX17" s="28"/>
    </row>
    <row r="18" s="3" customFormat="1" customHeight="1" spans="1:50">
      <c r="A18" s="10"/>
      <c r="B18" s="9"/>
      <c r="C18" s="9"/>
      <c r="D18" s="9" t="s">
        <v>260</v>
      </c>
      <c r="E18" s="15"/>
      <c r="F18" s="9" t="s">
        <v>143</v>
      </c>
      <c r="G18" s="9" t="s">
        <v>131</v>
      </c>
      <c r="H18" s="1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26">
        <f t="shared" si="4"/>
        <v>0</v>
      </c>
      <c r="AR18" s="27" t="e">
        <f>(AQ15-AQ18)/AQ15</f>
        <v>#DIV/0!</v>
      </c>
      <c r="AS18" s="26">
        <f t="shared" si="5"/>
        <v>0</v>
      </c>
      <c r="AT18" s="27" t="e">
        <f>(AS15-AS18)/AS15</f>
        <v>#DIV/0!</v>
      </c>
      <c r="AU18" s="25"/>
      <c r="AV18" s="28"/>
      <c r="AW18" s="28"/>
      <c r="AX18" s="28"/>
    </row>
    <row r="19" s="3" customFormat="1" customHeight="1" spans="1:50">
      <c r="A19" s="10"/>
      <c r="B19" s="9"/>
      <c r="C19" s="9"/>
      <c r="D19" s="9" t="s">
        <v>260</v>
      </c>
      <c r="E19" s="15"/>
      <c r="F19" s="9" t="s">
        <v>78</v>
      </c>
      <c r="G19" s="9" t="s">
        <v>134</v>
      </c>
      <c r="H19" s="1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24">
        <f t="shared" si="4"/>
        <v>0</v>
      </c>
      <c r="AR19" s="25"/>
      <c r="AS19" s="24">
        <f t="shared" si="5"/>
        <v>0</v>
      </c>
      <c r="AT19" s="25"/>
      <c r="AU19" s="25"/>
      <c r="AV19" s="28"/>
      <c r="AW19" s="28"/>
      <c r="AX19" s="28"/>
    </row>
    <row r="20" s="3" customFormat="1" customHeight="1" spans="1:50">
      <c r="A20" s="10"/>
      <c r="B20" s="9"/>
      <c r="C20" s="9"/>
      <c r="D20" s="9" t="s">
        <v>260</v>
      </c>
      <c r="E20" s="15"/>
      <c r="F20" s="9" t="s">
        <v>141</v>
      </c>
      <c r="G20" s="9" t="s">
        <v>134</v>
      </c>
      <c r="H20" s="1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24">
        <f t="shared" si="4"/>
        <v>0</v>
      </c>
      <c r="AR20" s="25" t="e">
        <f>(AQ19-AQ20)/AQ19</f>
        <v>#DIV/0!</v>
      </c>
      <c r="AS20" s="24">
        <f t="shared" si="5"/>
        <v>0</v>
      </c>
      <c r="AT20" s="25" t="e">
        <f>(AS19-AS20)/AS19</f>
        <v>#DIV/0!</v>
      </c>
      <c r="AU20" s="25"/>
      <c r="AV20" s="28"/>
      <c r="AW20" s="28"/>
      <c r="AX20" s="28"/>
    </row>
    <row r="21" s="3" customFormat="1" customHeight="1" spans="1:50">
      <c r="A21" s="10"/>
      <c r="B21" s="9"/>
      <c r="C21" s="9"/>
      <c r="D21" s="9" t="s">
        <v>260</v>
      </c>
      <c r="E21" s="15"/>
      <c r="F21" s="9" t="s">
        <v>142</v>
      </c>
      <c r="G21" s="9" t="s">
        <v>134</v>
      </c>
      <c r="H21" s="1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24">
        <f t="shared" si="4"/>
        <v>0</v>
      </c>
      <c r="AR21" s="25" t="e">
        <f>(AQ19-AQ21)/AQ19</f>
        <v>#DIV/0!</v>
      </c>
      <c r="AS21" s="24">
        <f t="shared" si="5"/>
        <v>0</v>
      </c>
      <c r="AT21" s="25" t="e">
        <f>(AS19-AS21)/AS19</f>
        <v>#DIV/0!</v>
      </c>
      <c r="AU21" s="25"/>
      <c r="AV21" s="28"/>
      <c r="AW21" s="28"/>
      <c r="AX21" s="28"/>
    </row>
    <row r="22" s="3" customFormat="1" customHeight="1" spans="1:50">
      <c r="A22" s="10"/>
      <c r="B22" s="9"/>
      <c r="C22" s="9"/>
      <c r="D22" s="9" t="s">
        <v>260</v>
      </c>
      <c r="E22" s="15"/>
      <c r="F22" s="9" t="s">
        <v>143</v>
      </c>
      <c r="G22" s="9" t="s">
        <v>134</v>
      </c>
      <c r="H22" s="1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26">
        <f t="shared" si="4"/>
        <v>0</v>
      </c>
      <c r="AR22" s="27" t="e">
        <f>(AQ19-AQ22)/AQ19</f>
        <v>#DIV/0!</v>
      </c>
      <c r="AS22" s="26">
        <f t="shared" si="5"/>
        <v>0</v>
      </c>
      <c r="AT22" s="27" t="e">
        <f>(AS19-AS22)/AS19</f>
        <v>#DIV/0!</v>
      </c>
      <c r="AU22" s="25"/>
      <c r="AV22" s="28"/>
      <c r="AW22" s="28"/>
      <c r="AX22" s="28"/>
    </row>
    <row r="23" s="3" customFormat="1" customHeight="1" spans="1:50">
      <c r="A23" s="10"/>
      <c r="B23" s="9"/>
      <c r="C23" s="9"/>
      <c r="D23" s="9" t="s">
        <v>260</v>
      </c>
      <c r="E23" s="15"/>
      <c r="F23" s="9" t="s">
        <v>78</v>
      </c>
      <c r="G23" s="9" t="s">
        <v>136</v>
      </c>
      <c r="H23" s="1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24">
        <f t="shared" si="4"/>
        <v>0</v>
      </c>
      <c r="AR23" s="25"/>
      <c r="AS23" s="24">
        <f t="shared" si="5"/>
        <v>0</v>
      </c>
      <c r="AT23" s="25"/>
      <c r="AU23" s="25"/>
      <c r="AV23" s="28"/>
      <c r="AW23" s="28"/>
      <c r="AX23" s="28"/>
    </row>
    <row r="24" s="3" customFormat="1" customHeight="1" spans="1:50">
      <c r="A24" s="10"/>
      <c r="B24" s="9"/>
      <c r="C24" s="9"/>
      <c r="D24" s="9" t="s">
        <v>260</v>
      </c>
      <c r="E24" s="15"/>
      <c r="F24" s="9" t="s">
        <v>141</v>
      </c>
      <c r="G24" s="9" t="s">
        <v>136</v>
      </c>
      <c r="H24" s="1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24">
        <f t="shared" si="4"/>
        <v>0</v>
      </c>
      <c r="AR24" s="25" t="e">
        <f>(AQ23-AQ24)/AQ23</f>
        <v>#DIV/0!</v>
      </c>
      <c r="AS24" s="24">
        <f t="shared" si="5"/>
        <v>0</v>
      </c>
      <c r="AT24" s="25" t="e">
        <f>(AS23-AS24)/AS23</f>
        <v>#DIV/0!</v>
      </c>
      <c r="AU24" s="25"/>
      <c r="AV24" s="28"/>
      <c r="AW24" s="28"/>
      <c r="AX24" s="28"/>
    </row>
    <row r="25" s="3" customFormat="1" customHeight="1" spans="1:50">
      <c r="A25" s="10"/>
      <c r="B25" s="9"/>
      <c r="C25" s="9"/>
      <c r="D25" s="9" t="s">
        <v>260</v>
      </c>
      <c r="E25" s="15"/>
      <c r="F25" s="9" t="s">
        <v>142</v>
      </c>
      <c r="G25" s="9" t="s">
        <v>136</v>
      </c>
      <c r="H25" s="1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24">
        <f t="shared" si="4"/>
        <v>0</v>
      </c>
      <c r="AR25" s="25" t="e">
        <f>(AQ23-AQ25)/AQ23</f>
        <v>#DIV/0!</v>
      </c>
      <c r="AS25" s="24">
        <f t="shared" si="5"/>
        <v>0</v>
      </c>
      <c r="AT25" s="25" t="e">
        <f>(AS23-AS25)/AS23</f>
        <v>#DIV/0!</v>
      </c>
      <c r="AU25" s="25"/>
      <c r="AV25" s="28"/>
      <c r="AW25" s="28"/>
      <c r="AX25" s="28"/>
    </row>
    <row r="26" s="3" customFormat="1" customHeight="1" spans="1:50">
      <c r="A26" s="10"/>
      <c r="B26" s="9"/>
      <c r="C26" s="9"/>
      <c r="D26" s="9" t="s">
        <v>260</v>
      </c>
      <c r="E26" s="15"/>
      <c r="F26" s="9" t="s">
        <v>143</v>
      </c>
      <c r="G26" s="9" t="s">
        <v>136</v>
      </c>
      <c r="H26" s="1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26">
        <f t="shared" si="4"/>
        <v>0</v>
      </c>
      <c r="AR26" s="27" t="e">
        <f>(AQ23-AQ26)/AQ23</f>
        <v>#DIV/0!</v>
      </c>
      <c r="AS26" s="26">
        <f t="shared" si="5"/>
        <v>0</v>
      </c>
      <c r="AT26" s="27" t="e">
        <f>(AS23-AS26)/AS23</f>
        <v>#DIV/0!</v>
      </c>
      <c r="AU26" s="25"/>
      <c r="AV26" s="28"/>
      <c r="AW26" s="28"/>
      <c r="AX26" s="28"/>
    </row>
    <row r="27" s="3" customFormat="1" ht="107" customHeight="1" spans="1:50">
      <c r="A27" s="9"/>
      <c r="B27" s="9"/>
      <c r="C27" s="9"/>
      <c r="D27" s="9" t="s">
        <v>260</v>
      </c>
      <c r="E27" s="15" t="s">
        <v>242</v>
      </c>
      <c r="F27" s="9" t="s">
        <v>78</v>
      </c>
      <c r="G27" s="9" t="s">
        <v>131</v>
      </c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24">
        <f t="shared" si="4"/>
        <v>0</v>
      </c>
      <c r="AR27" s="25"/>
      <c r="AS27" s="24">
        <f t="shared" si="5"/>
        <v>0</v>
      </c>
      <c r="AT27" s="25"/>
      <c r="AU27" s="25"/>
      <c r="AV27" s="28"/>
      <c r="AW27" s="28"/>
      <c r="AX27" s="28"/>
    </row>
    <row r="28" s="3" customFormat="1" ht="107" customHeight="1" spans="1:50">
      <c r="A28" s="9"/>
      <c r="B28" s="9"/>
      <c r="C28" s="9"/>
      <c r="D28" s="9" t="s">
        <v>260</v>
      </c>
      <c r="E28" s="15"/>
      <c r="F28" s="9" t="s">
        <v>92</v>
      </c>
      <c r="G28" s="9" t="s">
        <v>131</v>
      </c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24">
        <f t="shared" si="4"/>
        <v>0</v>
      </c>
      <c r="AR28" s="25" t="e">
        <f t="shared" ref="AR28:AR32" si="6">(AQ27-AQ28)/AQ27</f>
        <v>#DIV/0!</v>
      </c>
      <c r="AS28" s="24">
        <f t="shared" si="5"/>
        <v>0</v>
      </c>
      <c r="AT28" s="25" t="e">
        <f t="shared" ref="AT28:AT32" si="7">(AS27-AS28)/AS27</f>
        <v>#DIV/0!</v>
      </c>
      <c r="AU28" s="25"/>
      <c r="AV28" s="28"/>
      <c r="AW28" s="28"/>
      <c r="AX28" s="28"/>
    </row>
    <row r="29" s="3" customFormat="1" ht="121" customHeight="1" spans="1:50">
      <c r="A29" s="9"/>
      <c r="B29" s="9"/>
      <c r="C29" s="9"/>
      <c r="D29" s="9" t="s">
        <v>260</v>
      </c>
      <c r="E29" s="15"/>
      <c r="F29" s="9" t="s">
        <v>78</v>
      </c>
      <c r="G29" s="9" t="s">
        <v>134</v>
      </c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24">
        <f t="shared" si="4"/>
        <v>0</v>
      </c>
      <c r="AR29" s="25"/>
      <c r="AS29" s="24">
        <f t="shared" si="5"/>
        <v>0</v>
      </c>
      <c r="AT29" s="25"/>
      <c r="AU29" s="25"/>
      <c r="AV29" s="28"/>
      <c r="AW29" s="28"/>
      <c r="AX29" s="28"/>
    </row>
    <row r="30" s="3" customFormat="1" ht="121" customHeight="1" spans="1:50">
      <c r="A30" s="9"/>
      <c r="B30" s="9"/>
      <c r="C30" s="9"/>
      <c r="D30" s="9" t="s">
        <v>260</v>
      </c>
      <c r="E30" s="15"/>
      <c r="F30" s="9" t="s">
        <v>92</v>
      </c>
      <c r="G30" s="9" t="s">
        <v>134</v>
      </c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24">
        <f t="shared" si="4"/>
        <v>0</v>
      </c>
      <c r="AR30" s="25" t="e">
        <f t="shared" si="6"/>
        <v>#DIV/0!</v>
      </c>
      <c r="AS30" s="24">
        <f t="shared" si="5"/>
        <v>0</v>
      </c>
      <c r="AT30" s="25" t="e">
        <f t="shared" si="7"/>
        <v>#DIV/0!</v>
      </c>
      <c r="AU30" s="25"/>
      <c r="AV30" s="28"/>
      <c r="AW30" s="28"/>
      <c r="AX30" s="28"/>
    </row>
    <row r="31" s="3" customFormat="1" ht="121" customHeight="1" spans="1:50">
      <c r="A31" s="9"/>
      <c r="B31" s="9"/>
      <c r="C31" s="9"/>
      <c r="D31" s="9" t="s">
        <v>260</v>
      </c>
      <c r="E31" s="15"/>
      <c r="F31" s="9" t="s">
        <v>78</v>
      </c>
      <c r="G31" s="9" t="s">
        <v>136</v>
      </c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4">
        <f t="shared" si="4"/>
        <v>0</v>
      </c>
      <c r="AR31" s="25"/>
      <c r="AS31" s="24">
        <f t="shared" si="5"/>
        <v>0</v>
      </c>
      <c r="AT31" s="25"/>
      <c r="AU31" s="25"/>
      <c r="AV31" s="28"/>
      <c r="AW31" s="28"/>
      <c r="AX31" s="28"/>
    </row>
    <row r="32" s="3" customFormat="1" ht="121" customHeight="1" spans="1:50">
      <c r="A32" s="9"/>
      <c r="B32" s="9"/>
      <c r="C32" s="9"/>
      <c r="D32" s="9" t="s">
        <v>260</v>
      </c>
      <c r="E32" s="15"/>
      <c r="F32" s="9" t="s">
        <v>92</v>
      </c>
      <c r="G32" s="9" t="s">
        <v>136</v>
      </c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24">
        <f t="shared" si="4"/>
        <v>0</v>
      </c>
      <c r="AR32" s="25" t="e">
        <f t="shared" si="6"/>
        <v>#DIV/0!</v>
      </c>
      <c r="AS32" s="24">
        <f t="shared" si="5"/>
        <v>0</v>
      </c>
      <c r="AT32" s="25" t="e">
        <f t="shared" si="7"/>
        <v>#DIV/0!</v>
      </c>
      <c r="AU32" s="25"/>
      <c r="AV32" s="28"/>
      <c r="AW32" s="28"/>
      <c r="AX32" s="28"/>
    </row>
    <row r="33" customHeight="1" spans="1:50">
      <c r="A33" s="11"/>
      <c r="B33" s="11"/>
      <c r="C33" s="11"/>
      <c r="D33" s="9" t="s">
        <v>260</v>
      </c>
      <c r="E33" s="17" t="s">
        <v>243</v>
      </c>
      <c r="F33" s="18" t="s">
        <v>78</v>
      </c>
      <c r="G33" s="9" t="s">
        <v>131</v>
      </c>
      <c r="H33" s="1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24">
        <f t="shared" si="4"/>
        <v>0</v>
      </c>
      <c r="AR33" s="25"/>
      <c r="AS33" s="24">
        <f t="shared" si="5"/>
        <v>0</v>
      </c>
      <c r="AT33" s="25"/>
      <c r="AU33" s="25"/>
      <c r="AV33" s="18"/>
      <c r="AW33" s="18"/>
      <c r="AX33" s="18"/>
    </row>
    <row r="34" customHeight="1" spans="1:50">
      <c r="A34" s="11"/>
      <c r="B34" s="11"/>
      <c r="C34" s="11"/>
      <c r="D34" s="9" t="s">
        <v>260</v>
      </c>
      <c r="E34" s="17"/>
      <c r="F34" s="18" t="s">
        <v>153</v>
      </c>
      <c r="G34" s="9" t="s">
        <v>131</v>
      </c>
      <c r="H34" s="1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4"/>
      <c r="AR34" s="25"/>
      <c r="AS34" s="24"/>
      <c r="AT34" s="25"/>
      <c r="AU34" s="25"/>
      <c r="AV34" s="18"/>
      <c r="AW34" s="18"/>
      <c r="AX34" s="18"/>
    </row>
    <row r="35" customHeight="1" spans="1:50">
      <c r="A35" s="11"/>
      <c r="B35" s="11"/>
      <c r="C35" s="11"/>
      <c r="D35" s="9" t="s">
        <v>260</v>
      </c>
      <c r="E35" s="17"/>
      <c r="F35" s="18" t="s">
        <v>154</v>
      </c>
      <c r="G35" s="9" t="s">
        <v>131</v>
      </c>
      <c r="H35" s="1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4"/>
      <c r="AR35" s="25"/>
      <c r="AS35" s="24"/>
      <c r="AT35" s="25"/>
      <c r="AU35" s="25"/>
      <c r="AV35" s="18"/>
      <c r="AW35" s="18"/>
      <c r="AX35" s="18"/>
    </row>
    <row r="36" customHeight="1" spans="1:50">
      <c r="A36" s="11"/>
      <c r="B36" s="11"/>
      <c r="C36" s="11"/>
      <c r="D36" s="9" t="s">
        <v>260</v>
      </c>
      <c r="E36" s="17"/>
      <c r="F36" s="18" t="s">
        <v>95</v>
      </c>
      <c r="G36" s="9" t="s">
        <v>131</v>
      </c>
      <c r="H36" s="1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24">
        <f t="shared" ref="AQ36:AQ41" si="8">MIN(I36:Y36)</f>
        <v>0</v>
      </c>
      <c r="AR36" s="25" t="e">
        <f>(AQ33-AQ36)/AQ33</f>
        <v>#DIV/0!</v>
      </c>
      <c r="AS36" s="24">
        <f t="shared" ref="AS36:AS41" si="9">MIN(Z36:AP36)</f>
        <v>0</v>
      </c>
      <c r="AT36" s="25" t="e">
        <f>(AS33-AS36)/AS33</f>
        <v>#DIV/0!</v>
      </c>
      <c r="AU36" s="25"/>
      <c r="AV36" s="18"/>
      <c r="AW36" s="18"/>
      <c r="AX36" s="18"/>
    </row>
    <row r="37" customHeight="1" spans="1:50">
      <c r="A37" s="11"/>
      <c r="B37" s="11"/>
      <c r="C37" s="11"/>
      <c r="D37" s="9" t="s">
        <v>260</v>
      </c>
      <c r="E37" s="17"/>
      <c r="F37" s="18" t="s">
        <v>78</v>
      </c>
      <c r="G37" s="18" t="s">
        <v>134</v>
      </c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4">
        <f t="shared" si="8"/>
        <v>0</v>
      </c>
      <c r="AR37" s="25"/>
      <c r="AS37" s="24">
        <f t="shared" si="9"/>
        <v>0</v>
      </c>
      <c r="AT37" s="25"/>
      <c r="AU37" s="25"/>
      <c r="AV37" s="18"/>
      <c r="AW37" s="18"/>
      <c r="AX37" s="18"/>
    </row>
    <row r="38" customHeight="1" spans="1:50">
      <c r="A38" s="11"/>
      <c r="B38" s="11"/>
      <c r="C38" s="11"/>
      <c r="D38" s="9" t="s">
        <v>260</v>
      </c>
      <c r="E38" s="17"/>
      <c r="F38" s="18" t="s">
        <v>153</v>
      </c>
      <c r="G38" s="18" t="s">
        <v>134</v>
      </c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4"/>
      <c r="AR38" s="25"/>
      <c r="AS38" s="24"/>
      <c r="AT38" s="25"/>
      <c r="AU38" s="25"/>
      <c r="AV38" s="18"/>
      <c r="AW38" s="18"/>
      <c r="AX38" s="18"/>
    </row>
    <row r="39" customHeight="1" spans="1:50">
      <c r="A39" s="11"/>
      <c r="B39" s="11"/>
      <c r="C39" s="11"/>
      <c r="D39" s="9" t="s">
        <v>260</v>
      </c>
      <c r="E39" s="17"/>
      <c r="F39" s="18" t="s">
        <v>154</v>
      </c>
      <c r="G39" s="18" t="s">
        <v>134</v>
      </c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24"/>
      <c r="AR39" s="25"/>
      <c r="AS39" s="24"/>
      <c r="AT39" s="25"/>
      <c r="AU39" s="25"/>
      <c r="AV39" s="18"/>
      <c r="AW39" s="18"/>
      <c r="AX39" s="18"/>
    </row>
    <row r="40" customHeight="1" spans="1:50">
      <c r="A40" s="11"/>
      <c r="B40" s="11"/>
      <c r="C40" s="11"/>
      <c r="D40" s="9" t="s">
        <v>260</v>
      </c>
      <c r="E40" s="17"/>
      <c r="F40" s="18" t="s">
        <v>95</v>
      </c>
      <c r="G40" s="18" t="s">
        <v>134</v>
      </c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24">
        <f t="shared" si="8"/>
        <v>0</v>
      </c>
      <c r="AR40" s="25" t="e">
        <f>(AQ37-AQ40)/AQ37</f>
        <v>#DIV/0!</v>
      </c>
      <c r="AS40" s="24">
        <f t="shared" si="9"/>
        <v>0</v>
      </c>
      <c r="AT40" s="25" t="e">
        <f>(AS37-AS40)/AS37</f>
        <v>#DIV/0!</v>
      </c>
      <c r="AU40" s="25"/>
      <c r="AV40" s="18"/>
      <c r="AW40" s="18"/>
      <c r="AX40" s="18"/>
    </row>
    <row r="41" customHeight="1" spans="1:50">
      <c r="A41" s="11"/>
      <c r="B41" s="11"/>
      <c r="C41" s="11"/>
      <c r="D41" s="9" t="s">
        <v>260</v>
      </c>
      <c r="E41" s="17"/>
      <c r="F41" s="18" t="s">
        <v>78</v>
      </c>
      <c r="G41" s="18" t="s">
        <v>136</v>
      </c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24">
        <f t="shared" si="8"/>
        <v>0</v>
      </c>
      <c r="AR41" s="25"/>
      <c r="AS41" s="24">
        <f t="shared" si="9"/>
        <v>0</v>
      </c>
      <c r="AT41" s="25"/>
      <c r="AU41" s="25"/>
      <c r="AV41" s="18"/>
      <c r="AW41" s="18"/>
      <c r="AX41" s="18"/>
    </row>
    <row r="42" customHeight="1" spans="1:50">
      <c r="A42" s="11"/>
      <c r="B42" s="11"/>
      <c r="C42" s="11"/>
      <c r="D42" s="9" t="s">
        <v>260</v>
      </c>
      <c r="E42" s="17"/>
      <c r="F42" s="18" t="s">
        <v>153</v>
      </c>
      <c r="G42" s="18" t="s">
        <v>136</v>
      </c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24"/>
      <c r="AR42" s="25"/>
      <c r="AS42" s="24"/>
      <c r="AT42" s="25"/>
      <c r="AU42" s="25"/>
      <c r="AV42" s="18"/>
      <c r="AW42" s="18"/>
      <c r="AX42" s="18"/>
    </row>
    <row r="43" customHeight="1" spans="1:50">
      <c r="A43" s="11"/>
      <c r="B43" s="11"/>
      <c r="C43" s="11"/>
      <c r="D43" s="9" t="s">
        <v>260</v>
      </c>
      <c r="E43" s="17"/>
      <c r="F43" s="18" t="s">
        <v>154</v>
      </c>
      <c r="G43" s="18" t="s">
        <v>136</v>
      </c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24"/>
      <c r="AR43" s="25"/>
      <c r="AS43" s="24"/>
      <c r="AT43" s="25"/>
      <c r="AU43" s="25"/>
      <c r="AV43" s="18"/>
      <c r="AW43" s="18"/>
      <c r="AX43" s="18"/>
    </row>
    <row r="44" customHeight="1" spans="1:50">
      <c r="A44" s="11"/>
      <c r="B44" s="11"/>
      <c r="C44" s="11"/>
      <c r="D44" s="9" t="s">
        <v>260</v>
      </c>
      <c r="E44" s="17"/>
      <c r="F44" s="18" t="s">
        <v>95</v>
      </c>
      <c r="G44" s="18" t="s">
        <v>136</v>
      </c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24">
        <f>MIN(I44:Y44)</f>
        <v>0</v>
      </c>
      <c r="AR44" s="25" t="e">
        <f>(AQ41-AQ44)/AQ41</f>
        <v>#DIV/0!</v>
      </c>
      <c r="AS44" s="24">
        <f>MIN(Z44:AP44)</f>
        <v>0</v>
      </c>
      <c r="AT44" s="25" t="e">
        <f>(AS41-AS44)/AS41</f>
        <v>#DIV/0!</v>
      </c>
      <c r="AU44" s="25"/>
      <c r="AV44" s="18"/>
      <c r="AW44" s="18"/>
      <c r="AX44" s="18"/>
    </row>
  </sheetData>
  <autoFilter ref="A2:XFD44">
    <extLst/>
  </autoFilter>
  <mergeCells count="38">
    <mergeCell ref="A1:D1"/>
    <mergeCell ref="E1:H1"/>
    <mergeCell ref="I1:Y1"/>
    <mergeCell ref="Z1:AP1"/>
    <mergeCell ref="AQ1:AT1"/>
    <mergeCell ref="AV1:AX1"/>
    <mergeCell ref="E3:E14"/>
    <mergeCell ref="E15:E26"/>
    <mergeCell ref="E27:E32"/>
    <mergeCell ref="E33:E44"/>
    <mergeCell ref="AV3:AV6"/>
    <mergeCell ref="AV7:AV10"/>
    <mergeCell ref="AV11:AV14"/>
    <mergeCell ref="AV15:AV18"/>
    <mergeCell ref="AV19:AV22"/>
    <mergeCell ref="AV23:AV26"/>
    <mergeCell ref="AV27:AV28"/>
    <mergeCell ref="AV29:AV30"/>
    <mergeCell ref="AV31:AV32"/>
    <mergeCell ref="AV33:AV36"/>
    <mergeCell ref="AV37:AV40"/>
    <mergeCell ref="AV41:AV44"/>
    <mergeCell ref="AW3:AW6"/>
    <mergeCell ref="AW7:AW10"/>
    <mergeCell ref="AW11:AW14"/>
    <mergeCell ref="AW15:AW18"/>
    <mergeCell ref="AW19:AW22"/>
    <mergeCell ref="AW23:AW26"/>
    <mergeCell ref="AW27:AW28"/>
    <mergeCell ref="AW29:AW30"/>
    <mergeCell ref="AW31:AW32"/>
    <mergeCell ref="AW33:AW36"/>
    <mergeCell ref="AW37:AW40"/>
    <mergeCell ref="AW41:AW44"/>
    <mergeCell ref="AX3:AX14"/>
    <mergeCell ref="AX15:AX26"/>
    <mergeCell ref="AX27:AX32"/>
    <mergeCell ref="AX33:AX44"/>
  </mergeCells>
  <conditionalFormatting sqref="AT6">
    <cfRule type="cellIs" dxfId="8" priority="3" operator="greaterThan">
      <formula>0.3</formula>
    </cfRule>
  </conditionalFormatting>
  <conditionalFormatting sqref="AT7">
    <cfRule type="cellIs" dxfId="8" priority="17" operator="greaterThan">
      <formula>0.3</formula>
    </cfRule>
  </conditionalFormatting>
  <conditionalFormatting sqref="AT8">
    <cfRule type="cellIs" dxfId="8" priority="16" operator="greaterThan">
      <formula>0.3</formula>
    </cfRule>
  </conditionalFormatting>
  <conditionalFormatting sqref="AT10">
    <cfRule type="cellIs" dxfId="8" priority="2" operator="greaterThan">
      <formula>0.3</formula>
    </cfRule>
  </conditionalFormatting>
  <conditionalFormatting sqref="AT11">
    <cfRule type="cellIs" dxfId="8" priority="14" operator="greaterThan">
      <formula>0.3</formula>
    </cfRule>
  </conditionalFormatting>
  <conditionalFormatting sqref="AT12">
    <cfRule type="cellIs" dxfId="8" priority="15" operator="greaterThan">
      <formula>0.3</formula>
    </cfRule>
  </conditionalFormatting>
  <conditionalFormatting sqref="AT23">
    <cfRule type="cellIs" dxfId="8" priority="13" operator="greaterThan">
      <formula>0.3</formula>
    </cfRule>
  </conditionalFormatting>
  <conditionalFormatting sqref="AT27">
    <cfRule type="cellIs" dxfId="8" priority="12" operator="greaterThan">
      <formula>0.3</formula>
    </cfRule>
  </conditionalFormatting>
  <conditionalFormatting sqref="AT28">
    <cfRule type="cellIs" dxfId="8" priority="10" operator="greaterThan">
      <formula>0.3</formula>
    </cfRule>
  </conditionalFormatting>
  <conditionalFormatting sqref="AT29">
    <cfRule type="cellIs" dxfId="8" priority="11" operator="greaterThan">
      <formula>0.3</formula>
    </cfRule>
  </conditionalFormatting>
  <conditionalFormatting sqref="AT30">
    <cfRule type="cellIs" dxfId="8" priority="9" operator="greaterThan">
      <formula>0.3</formula>
    </cfRule>
  </conditionalFormatting>
  <conditionalFormatting sqref="AT31">
    <cfRule type="cellIs" dxfId="8" priority="7" operator="greaterThan">
      <formula>0.3</formula>
    </cfRule>
  </conditionalFormatting>
  <conditionalFormatting sqref="AT32">
    <cfRule type="cellIs" dxfId="8" priority="8" operator="greaterThan">
      <formula>0.3</formula>
    </cfRule>
  </conditionalFormatting>
  <conditionalFormatting sqref="AT33">
    <cfRule type="cellIs" dxfId="8" priority="6" operator="greaterThan">
      <formula>0.3</formula>
    </cfRule>
  </conditionalFormatting>
  <conditionalFormatting sqref="AT34">
    <cfRule type="cellIs" dxfId="8" priority="23" operator="greaterThan">
      <formula>0.3</formula>
    </cfRule>
  </conditionalFormatting>
  <conditionalFormatting sqref="AT35">
    <cfRule type="cellIs" dxfId="8" priority="22" operator="greaterThan">
      <formula>0.3</formula>
    </cfRule>
  </conditionalFormatting>
  <conditionalFormatting sqref="AT37">
    <cfRule type="cellIs" dxfId="8" priority="5" operator="greaterThan">
      <formula>0.3</formula>
    </cfRule>
  </conditionalFormatting>
  <conditionalFormatting sqref="AT38">
    <cfRule type="cellIs" dxfId="8" priority="21" operator="greaterThan">
      <formula>0.3</formula>
    </cfRule>
  </conditionalFormatting>
  <conditionalFormatting sqref="AT39">
    <cfRule type="cellIs" dxfId="8" priority="20" operator="greaterThan">
      <formula>0.3</formula>
    </cfRule>
  </conditionalFormatting>
  <conditionalFormatting sqref="AT41">
    <cfRule type="cellIs" dxfId="8" priority="4" operator="greaterThan">
      <formula>0.3</formula>
    </cfRule>
  </conditionalFormatting>
  <conditionalFormatting sqref="AT42">
    <cfRule type="cellIs" dxfId="8" priority="19" operator="greaterThan">
      <formula>0.3</formula>
    </cfRule>
  </conditionalFormatting>
  <conditionalFormatting sqref="AT43">
    <cfRule type="cellIs" dxfId="8" priority="18" operator="greaterThan">
      <formula>0.3</formula>
    </cfRule>
  </conditionalFormatting>
  <conditionalFormatting sqref="AU3:AU44">
    <cfRule type="cellIs" dxfId="8" priority="1" operator="greaterThan">
      <formula>0.3</formula>
    </cfRule>
  </conditionalFormatting>
  <conditionalFormatting sqref="AT3:AT5 AT9 AT13:AT14">
    <cfRule type="cellIs" dxfId="8" priority="24" operator="greaterThan">
      <formula>0.3</formula>
    </cfRule>
  </conditionalFormatting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Master summary</vt:lpstr>
      <vt:lpstr>WG-POR REL Test plan </vt:lpstr>
      <vt:lpstr>WG-PRO-KPI Summary</vt:lpstr>
      <vt:lpstr>WG-PRO-CTF Date</vt:lpstr>
      <vt:lpstr>WG-DOE REL Test plan </vt:lpstr>
      <vt:lpstr>LE REL Test plan </vt:lpstr>
      <vt:lpstr>LE-KPI Summary</vt:lpstr>
      <vt:lpstr>WG-DOE-KPI Summary</vt:lpstr>
      <vt:lpstr>LE-CTF Date</vt:lpstr>
      <vt:lpstr>WG-DOE-CTF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谢迪贤</dc:creator>
  <cp:lastModifiedBy>wangchuansheng</cp:lastModifiedBy>
  <dcterms:created xsi:type="dcterms:W3CDTF">2023-05-13T03:15:00Z</dcterms:created>
  <dcterms:modified xsi:type="dcterms:W3CDTF">2026-03-24T21:06:38Z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2052-11.1.0.11723</vt:lpwstr>
  </property>
  <property fmtid="{D5CDD505-2E9C-101B-9397-08002B2CF9AE}" pid="3" name="ICV">
    <vt:lpwstr>8F39CDE3C7FD467AA487744A81440776_13</vt:lpwstr>
  </property>
  <property fmtid="{D5CDD505-2E9C-101B-9397-08002B2CF9AE}" pid="4" name="CalculationRule">
    <vt:i4>0</vt:i4>
  </property>
</Properties>
</file>